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broberts/git/foldy/backend/src/notebooks/jacob/jr_fabp4/"/>
    </mc:Choice>
  </mc:AlternateContent>
  <xr:revisionPtr revIDLastSave="0" documentId="13_ncr:1_{794CEAC6-2418-F34F-8462-8FCE145AA99B}" xr6:coauthVersionLast="47" xr6:coauthVersionMax="47" xr10:uidLastSave="{00000000-0000-0000-0000-000000000000}"/>
  <bookViews>
    <workbookView xWindow="160" yWindow="920" windowWidth="34240" windowHeight="19900" xr2:uid="{FAB87DB2-0769-BF42-AB2B-D27716D8F9CE}"/>
  </bookViews>
  <sheets>
    <sheet name="fabp4_r1_activ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6" i="1" l="1"/>
  <c r="J246" i="1"/>
  <c r="K245" i="1"/>
  <c r="J245" i="1"/>
  <c r="K244" i="1"/>
  <c r="J244" i="1"/>
  <c r="K243" i="1"/>
  <c r="J243" i="1"/>
  <c r="K242" i="1"/>
  <c r="J242" i="1"/>
  <c r="K241" i="1"/>
  <c r="J241" i="1"/>
  <c r="K240" i="1"/>
  <c r="J240" i="1"/>
  <c r="K239" i="1"/>
  <c r="J239" i="1"/>
  <c r="K238" i="1"/>
  <c r="J238" i="1"/>
  <c r="K237" i="1"/>
  <c r="J237" i="1"/>
  <c r="K236" i="1"/>
  <c r="J236" i="1"/>
  <c r="K235" i="1"/>
  <c r="J235" i="1"/>
  <c r="K234" i="1"/>
  <c r="J234" i="1"/>
  <c r="K233" i="1"/>
  <c r="J233" i="1"/>
  <c r="K232" i="1"/>
  <c r="J232" i="1"/>
  <c r="K231" i="1"/>
  <c r="J231" i="1"/>
  <c r="K230" i="1"/>
  <c r="J230" i="1"/>
  <c r="K229" i="1"/>
  <c r="J229" i="1"/>
  <c r="K228" i="1"/>
  <c r="J228" i="1"/>
  <c r="K227" i="1"/>
  <c r="J227" i="1"/>
  <c r="K226" i="1"/>
  <c r="J226" i="1"/>
  <c r="K225" i="1"/>
  <c r="J225" i="1"/>
  <c r="K224" i="1"/>
  <c r="J224" i="1"/>
  <c r="K223" i="1"/>
  <c r="J223" i="1"/>
  <c r="K222" i="1"/>
  <c r="J222" i="1"/>
  <c r="K221" i="1"/>
  <c r="J221" i="1"/>
  <c r="K220" i="1"/>
  <c r="J220" i="1"/>
  <c r="K219" i="1"/>
  <c r="J219" i="1"/>
  <c r="K218" i="1"/>
  <c r="J218" i="1"/>
  <c r="K217" i="1"/>
  <c r="J217" i="1"/>
  <c r="K216" i="1"/>
  <c r="J216" i="1"/>
  <c r="K215" i="1"/>
  <c r="J215" i="1"/>
  <c r="K214" i="1"/>
  <c r="J214" i="1"/>
  <c r="K213" i="1"/>
  <c r="J213" i="1"/>
  <c r="K212" i="1"/>
  <c r="J212" i="1"/>
  <c r="K211" i="1"/>
  <c r="J211" i="1"/>
  <c r="K210" i="1"/>
  <c r="J210" i="1"/>
  <c r="K209" i="1"/>
  <c r="J209" i="1"/>
  <c r="K208" i="1"/>
  <c r="J208" i="1"/>
  <c r="K207" i="1"/>
  <c r="J207" i="1"/>
  <c r="K206" i="1"/>
  <c r="J206" i="1"/>
  <c r="K205" i="1"/>
  <c r="J205" i="1"/>
  <c r="K204" i="1"/>
  <c r="J204" i="1"/>
  <c r="K203" i="1"/>
  <c r="J203" i="1"/>
  <c r="K202" i="1"/>
  <c r="J202" i="1"/>
  <c r="K201" i="1"/>
  <c r="J201" i="1"/>
  <c r="K200" i="1"/>
  <c r="J200" i="1"/>
  <c r="K199" i="1"/>
  <c r="J199" i="1"/>
  <c r="K198" i="1"/>
  <c r="J198" i="1"/>
  <c r="K197" i="1"/>
  <c r="J197" i="1"/>
  <c r="J2" i="1"/>
  <c r="K2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K99" i="1"/>
  <c r="K147" i="1"/>
  <c r="J147" i="1"/>
  <c r="K146" i="1"/>
  <c r="J146" i="1"/>
  <c r="K145" i="1"/>
  <c r="J145" i="1"/>
  <c r="K144" i="1"/>
  <c r="J144" i="1"/>
  <c r="K143" i="1"/>
  <c r="J143" i="1"/>
  <c r="K142" i="1"/>
  <c r="J142" i="1"/>
  <c r="K141" i="1"/>
  <c r="J141" i="1"/>
  <c r="K140" i="1"/>
  <c r="J140" i="1"/>
  <c r="K139" i="1"/>
  <c r="J139" i="1"/>
  <c r="K138" i="1"/>
  <c r="J138" i="1"/>
  <c r="K137" i="1"/>
  <c r="J137" i="1"/>
  <c r="K136" i="1"/>
  <c r="J136" i="1"/>
  <c r="K135" i="1"/>
  <c r="J135" i="1"/>
  <c r="K134" i="1"/>
  <c r="J134" i="1"/>
  <c r="K133" i="1"/>
  <c r="J133" i="1"/>
  <c r="K132" i="1"/>
  <c r="J132" i="1"/>
  <c r="K131" i="1"/>
  <c r="J131" i="1"/>
  <c r="K130" i="1"/>
  <c r="J130" i="1"/>
  <c r="K129" i="1"/>
  <c r="J129" i="1"/>
  <c r="K128" i="1"/>
  <c r="J128" i="1"/>
  <c r="K127" i="1"/>
  <c r="J127" i="1"/>
  <c r="K126" i="1"/>
  <c r="J126" i="1"/>
  <c r="K125" i="1"/>
  <c r="J125" i="1"/>
  <c r="K124" i="1"/>
  <c r="J124" i="1"/>
  <c r="K123" i="1"/>
  <c r="J123" i="1"/>
  <c r="K122" i="1"/>
  <c r="J122" i="1"/>
  <c r="K121" i="1"/>
  <c r="J121" i="1"/>
  <c r="K120" i="1"/>
  <c r="J120" i="1"/>
  <c r="K119" i="1"/>
  <c r="J119" i="1"/>
  <c r="K118" i="1"/>
  <c r="J118" i="1"/>
  <c r="K117" i="1"/>
  <c r="J117" i="1"/>
  <c r="K116" i="1"/>
  <c r="J116" i="1"/>
  <c r="K115" i="1"/>
  <c r="J115" i="1"/>
  <c r="K114" i="1"/>
  <c r="J114" i="1"/>
  <c r="K113" i="1"/>
  <c r="J113" i="1"/>
  <c r="K112" i="1"/>
  <c r="J112" i="1"/>
  <c r="K111" i="1"/>
  <c r="J111" i="1"/>
  <c r="K110" i="1"/>
  <c r="J110" i="1"/>
  <c r="K109" i="1"/>
  <c r="J109" i="1"/>
  <c r="K108" i="1"/>
  <c r="J108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J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J3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35" i="1"/>
  <c r="J42" i="1"/>
  <c r="J34" i="1"/>
  <c r="J24" i="1"/>
  <c r="J21" i="1"/>
  <c r="J25" i="1"/>
  <c r="J28" i="1"/>
  <c r="J43" i="1"/>
  <c r="J27" i="1"/>
  <c r="J30" i="1"/>
  <c r="J45" i="1"/>
  <c r="J7" i="1"/>
  <c r="J33" i="1"/>
  <c r="J12" i="1"/>
  <c r="J15" i="1"/>
  <c r="J16" i="1"/>
  <c r="J40" i="1"/>
  <c r="J19" i="1"/>
  <c r="J32" i="1"/>
  <c r="J44" i="1"/>
  <c r="J41" i="1"/>
  <c r="J13" i="1"/>
  <c r="J4" i="1"/>
  <c r="J48" i="1"/>
  <c r="J23" i="1"/>
  <c r="J18" i="1"/>
  <c r="J47" i="1"/>
  <c r="J20" i="1"/>
  <c r="J46" i="1"/>
  <c r="J26" i="1"/>
  <c r="J22" i="1"/>
  <c r="J39" i="1"/>
  <c r="J5" i="1"/>
  <c r="J14" i="1"/>
  <c r="J31" i="1"/>
  <c r="J8" i="1"/>
  <c r="J9" i="1"/>
  <c r="J11" i="1"/>
  <c r="J36" i="1"/>
  <c r="J38" i="1"/>
  <c r="J6" i="1"/>
  <c r="J17" i="1"/>
  <c r="J37" i="1"/>
  <c r="J29" i="1"/>
  <c r="J10" i="1"/>
</calcChain>
</file>

<file path=xl/sharedStrings.xml><?xml version="1.0" encoding="utf-8"?>
<sst xmlns="http://schemas.openxmlformats.org/spreadsheetml/2006/main" count="355" uniqueCount="258">
  <si>
    <t>fold_id</t>
  </si>
  <si>
    <t>fold_name</t>
  </si>
  <si>
    <t>affinity_pred_value</t>
  </si>
  <si>
    <t>affinity_probability_binary</t>
  </si>
  <si>
    <t>affinity_pred_value1</t>
  </si>
  <si>
    <t>affinity_probability_binary1</t>
  </si>
  <si>
    <t>affinity_pred_value2</t>
  </si>
  <si>
    <t>affinity_probability_binary2</t>
  </si>
  <si>
    <t>FABP4_HUMAN-R109V PFOA</t>
  </si>
  <si>
    <t>FABP4_HUMAN-V91T PFOA</t>
  </si>
  <si>
    <t>FABP4_HUMAN-M36V PFOA</t>
  </si>
  <si>
    <t>FABP4_HUMAN-V95E PFOA</t>
  </si>
  <si>
    <t>FABP4_HUMAN-M41C PFOA</t>
  </si>
  <si>
    <t>FABP4_HUMAN-I85V PFOA</t>
  </si>
  <si>
    <t>FABP4_HUMAN-K121E PFOA</t>
  </si>
  <si>
    <t>FABP4_HUMAN-I52M PFOA</t>
  </si>
  <si>
    <t>FABP4_HUMAN-I66H PFOA</t>
  </si>
  <si>
    <t>FABP4_HUMAN-I66E PFOA</t>
  </si>
  <si>
    <t>FABP4_HUMAN-I66V PFOA</t>
  </si>
  <si>
    <t>FABP4_HUMAN-H94Q PFOA</t>
  </si>
  <si>
    <t>FABP4_HUMAN-S102K PFOA</t>
  </si>
  <si>
    <t>FABP4_HUMAN-S102N PFOA</t>
  </si>
  <si>
    <t>FABP4_HUMAN-V24I PFOA</t>
  </si>
  <si>
    <t>FABP4_HUMAN-Q69K PFOA</t>
  </si>
  <si>
    <t>FABP4_HUMAN-K121G PFOA</t>
  </si>
  <si>
    <t>FABP4_HUMAN-I50V PFOA</t>
  </si>
  <si>
    <t>FABP4_HUMAN-M41T PFOA</t>
  </si>
  <si>
    <t>FABP4_HUMAN-V49T PFOA</t>
  </si>
  <si>
    <t>FABP4_HUMAN-K121S PFOA</t>
  </si>
  <si>
    <t>FABP4_HUMAN-V91S PFOA</t>
  </si>
  <si>
    <t>FABP4_HUMAN-I52L PFOA</t>
  </si>
  <si>
    <t>FABP4_HUMAN-M41I PFOA</t>
  </si>
  <si>
    <t>FABP4_HUMAN-S102T PFOA</t>
  </si>
  <si>
    <t>FABP4_HUMAN-S102Q PFOA</t>
  </si>
  <si>
    <t>FABP4_HUMAN-S102V PFOA</t>
  </si>
  <si>
    <t>FABP4_HUMAN-V91A PFOA</t>
  </si>
  <si>
    <t>FABP4_HUMAN-V74T PFOA</t>
  </si>
  <si>
    <t>FABP4_HUMAN-I66S PFOA</t>
  </si>
  <si>
    <t>FABP4_HUMAN-K121D PFOA</t>
  </si>
  <si>
    <t>FABP4_HUMAN-K121A PFOA</t>
  </si>
  <si>
    <t>FABP4_HUMAN-V24L PFOA</t>
  </si>
  <si>
    <t>FABP4_HUMAN-R109L PFOA</t>
  </si>
  <si>
    <t>FABP4_HUMAN-D111G PFOA</t>
  </si>
  <si>
    <t>FABP4_HUMAN-I66N PFOA</t>
  </si>
  <si>
    <t>FABP4_HUMAN-M41V PFOA</t>
  </si>
  <si>
    <t>FABP4_HUMAN-I66Q PFOA</t>
  </si>
  <si>
    <t>FABP4_HUMAN-R131K PFOA</t>
  </si>
  <si>
    <t>FABP4_HUMAN-I66R PFOA</t>
  </si>
  <si>
    <t>FABP4_HUMAN-S102D PFOA</t>
  </si>
  <si>
    <t>FABP4_HUMAN-M41L PFOA</t>
  </si>
  <si>
    <t>FABP4_HUMAN-S102E PFOA</t>
  </si>
  <si>
    <t>FABP4_HUMAN-I66K PFOA</t>
  </si>
  <si>
    <t>FABP4_HUMAN-K121N PFOA</t>
  </si>
  <si>
    <t>FABP4_HUMAN-I66T PFOA</t>
  </si>
  <si>
    <t>FABP4_HUMAN-WT PFOA</t>
  </si>
  <si>
    <t>seq_id</t>
  </si>
  <si>
    <t>activity</t>
  </si>
  <si>
    <t>FABP4_HUMAN-I52Q_R109V PFOA</t>
  </si>
  <si>
    <t>FABP4_HUMAN-I52M_E62V PFOA</t>
  </si>
  <si>
    <t>FABP4_HUMAN-I52M_S102Q PFOA</t>
  </si>
  <si>
    <t>FABP4_HUMAN-I52M_K101Q PFOA</t>
  </si>
  <si>
    <t>FABP4_HUMAN-M41L_I52M PFOA</t>
  </si>
  <si>
    <t>FABP4_HUMAN-M41N_I52M PFOA</t>
  </si>
  <si>
    <t>FABP4_HUMAN-M41T_I52M PFOA</t>
  </si>
  <si>
    <t>FABP4_HUMAN-M41A_I52M PFOA</t>
  </si>
  <si>
    <t>FABP4_HUMAN-I52M_S102D PFOA</t>
  </si>
  <si>
    <t>FABP4_HUMAN-M41T_V91S PFOA</t>
  </si>
  <si>
    <t>FABP4_HUMAN-I52M_E110L PFOA</t>
  </si>
  <si>
    <t>FABP4_HUMAN-I52M_K80H PFOA</t>
  </si>
  <si>
    <t>FABP4_HUMAN-I52M_E110M PFOA</t>
  </si>
  <si>
    <t>FABP4_HUMAN-M41N_S102D PFOA</t>
  </si>
  <si>
    <t>FABP4_HUMAN-M41S_I52M PFOA</t>
  </si>
  <si>
    <t>FABP4_HUMAN-I52L_V91S PFOA</t>
  </si>
  <si>
    <t>FABP4_HUMAN-I52M_T84L PFOA</t>
  </si>
  <si>
    <t>FABP4_HUMAN-M41Q_V91S PFOA</t>
  </si>
  <si>
    <t>FABP4_HUMAN-I52L_E62V PFOA</t>
  </si>
  <si>
    <t>FABP4_HUMAN-I52L_S102D PFOA</t>
  </si>
  <si>
    <t>FABP4_HUMAN-I52F_S102D PFOA</t>
  </si>
  <si>
    <t>FABP4_HUMAN-I50V_I52M PFOA</t>
  </si>
  <si>
    <t>FABP4_HUMAN-I52M_T84V PFOA</t>
  </si>
  <si>
    <t>FABP4_HUMAN-M41Q_I52M PFOA</t>
  </si>
  <si>
    <t>FABP4_HUMAN-I52M_V91S PFOA</t>
  </si>
  <si>
    <t>FABP4_HUMAN-I52L_Q69K PFOA</t>
  </si>
  <si>
    <t>FABP4_HUMAN-V45Q_I52M PFOA</t>
  </si>
  <si>
    <t>FABP4_HUMAN-M41L_T84L PFOA</t>
  </si>
  <si>
    <t>FABP4_HUMAN-M41L_E62L PFOA</t>
  </si>
  <si>
    <t>FABP4_HUMAN-I52M_D112G PFOA</t>
  </si>
  <si>
    <t>FABP4_HUMAN-M41L_K97S PFOA</t>
  </si>
  <si>
    <t>FABP4_HUMAN-V45R_R109V PFOA</t>
  </si>
  <si>
    <t>FABP4_HUMAN-V45Q_I52L PFOA</t>
  </si>
  <si>
    <t>FABP4_HUMAN-V33M_I52L PFOA</t>
  </si>
  <si>
    <t>FABP4_HUMAN-T84L_V91S PFOA</t>
  </si>
  <si>
    <t>FABP4_HUMAN-M41E_I52M PFOA</t>
  </si>
  <si>
    <t>FABP4_HUMAN-I66T_S102D PFOA</t>
  </si>
  <si>
    <t>FABP4_HUMAN-I52M_I66K PFOA</t>
  </si>
  <si>
    <t>FABP4_HUMAN-R109V_E117K PFOA</t>
  </si>
  <si>
    <t>FABP4_HUMAN-M41L_V91S PFOA</t>
  </si>
  <si>
    <t>FABP4_HUMAN-I52L_I63L PFOA</t>
  </si>
  <si>
    <t>FABP4_HUMAN-I52M_S102V PFOA</t>
  </si>
  <si>
    <t>FABP4_HUMAN-I52L_S102L PFOA</t>
  </si>
  <si>
    <t>FABP4_HUMAN-M41L_I52V PFOA</t>
  </si>
  <si>
    <t>FABP4_HUMAN-I52L_S102V PFOA</t>
  </si>
  <si>
    <t>FABP4_HUMAN-V91S_S102V PFOA</t>
  </si>
  <si>
    <t>FABP4_HUMAN-M41D_R109V PFOA</t>
  </si>
  <si>
    <t>FABP4_HUMAN-M41E_R109V PFOA</t>
  </si>
  <si>
    <t>FABP4_HUMAN-M41E_V91S PFOA</t>
  </si>
  <si>
    <t>FABP4_HUMAN-M41E_S102D PFOA</t>
  </si>
  <si>
    <t>FABP4_HUMAN-I52Q_R109V_G122E PFOA</t>
  </si>
  <si>
    <t>FABP4_HUMAN-I52Q_R109V_K121N PFOA</t>
  </si>
  <si>
    <t>FABP4_HUMAN-I52Q_V91A_R109V PFOA</t>
  </si>
  <si>
    <t>FABP4_HUMAN-I43L_I52Q_R109V PFOA</t>
  </si>
  <si>
    <t>FABP4_HUMAN-M41N_I52Q_R109V PFOA</t>
  </si>
  <si>
    <t>FABP4_HUMAN-M41T_I52Q_R109V PFOA</t>
  </si>
  <si>
    <t>FABP4_HUMAN-I52Q_R109V_K121S PFOA</t>
  </si>
  <si>
    <t>FABP4_HUMAN-I52Q_V74T_R109V PFOA</t>
  </si>
  <si>
    <t>FABP4_HUMAN-I52Q_R109V_V116A PFOA</t>
  </si>
  <si>
    <t>FABP4_HUMAN-N46D_I52Q_R109V PFOA</t>
  </si>
  <si>
    <t>FABP4_HUMAN-M41S_I52Q_R109V PFOA</t>
  </si>
  <si>
    <t>FABP4_HUMAN-I52Q_R109V_K121D PFOA</t>
  </si>
  <si>
    <t>FABP4_HUMAN-I52Q_R109V_K121E PFOA</t>
  </si>
  <si>
    <t>FABP4_HUMAN-I52Q_G89D_R109V PFOA</t>
  </si>
  <si>
    <t>FABP4_HUMAN-I52Q_R109V_K121Q PFOA</t>
  </si>
  <si>
    <t>FABP4_HUMAN-I52Q_G100D_R109V PFOA</t>
  </si>
  <si>
    <t>FABP4_HUMAN-I52Q_R109V_K121P PFOA</t>
  </si>
  <si>
    <t>FABP4_HUMAN-I52Q_R109V_K121G PFOA</t>
  </si>
  <si>
    <t>FABP4_HUMAN-M41N_I52M_K121N PFOA</t>
  </si>
  <si>
    <t>FABP4_HUMAN-M41N_I52M_G90D PFOA</t>
  </si>
  <si>
    <t>FABP4_HUMAN-M41T_I52M_S102D PFOA</t>
  </si>
  <si>
    <t>FABP4_HUMAN-V33M_I52Q_R109V PFOA</t>
  </si>
  <si>
    <t>FABP4_HUMAN-I43T_I52Q_R109V PFOA</t>
  </si>
  <si>
    <t>FABP4_HUMAN-M41N_I52M_G89D PFOA</t>
  </si>
  <si>
    <t>FABP4_HUMAN-M41N_I52M_G89E PFOA</t>
  </si>
  <si>
    <t>FABP4_HUMAN-I43N_I52Q_R109V PFOA</t>
  </si>
  <si>
    <t>FABP4_HUMAN-M41N_I52M_G100D PFOA</t>
  </si>
  <si>
    <t>FABP4_HUMAN-C2A_I52Q_R109V PFOA</t>
  </si>
  <si>
    <t>FABP4_HUMAN-I52Q_R109V_K121A PFOA</t>
  </si>
  <si>
    <t>FABP4_HUMAN-I52Q_S102D_R109V PFOA</t>
  </si>
  <si>
    <t>FABP4_HUMAN-M41N_I52M_S102E PFOA</t>
  </si>
  <si>
    <t>FABP4_HUMAN-I43Q_I52Q_R109V PFOA</t>
  </si>
  <si>
    <t>FABP4_HUMAN-V45A_I52Q_R109V PFOA</t>
  </si>
  <si>
    <t>FABP4_HUMAN-I52M_S102Q_K121N PFOA</t>
  </si>
  <si>
    <t>FABP4_HUMAN-C2S_I52Q_R109V PFOA</t>
  </si>
  <si>
    <t>FABP4_HUMAN-I52Q_K108T_R109V PFOA</t>
  </si>
  <si>
    <t>FABP4_HUMAN-M41S_I52M_S102D PFOA</t>
  </si>
  <si>
    <t>FABP4_HUMAN-I52Q_V74N_R109V PFOA</t>
  </si>
  <si>
    <t>FABP4_HUMAN-I52M_G89D_K101Q PFOA</t>
  </si>
  <si>
    <t>FABP4_HUMAN-M41T_I52M_G89D PFOA</t>
  </si>
  <si>
    <t>FABP4_HUMAN-C2T_I52Q_R109V PFOA</t>
  </si>
  <si>
    <t>FABP4_HUMAN-C2V_M41N_I52M PFOA</t>
  </si>
  <si>
    <t>FABP4_HUMAN-I52Q_I105A_R109V PFOA</t>
  </si>
  <si>
    <t>FABP4_HUMAN-M41A_I52M_S102E PFOA</t>
  </si>
  <si>
    <t>FABP4_HUMAN-I52Q_K80E_R109V PFOA</t>
  </si>
  <si>
    <t>FABP4_HUMAN-I52M_S102Q_K121D PFOA</t>
  </si>
  <si>
    <t>FABP4_HUMAN-I52Q_I105Q_R109V PFOA</t>
  </si>
  <si>
    <t>FABP4_HUMAN-I52Q_I105T_R109V PFOA</t>
  </si>
  <si>
    <t>FABP4_HUMAN-I52Q_I105G_R109V PFOA</t>
  </si>
  <si>
    <t>FABP4_HUMAN-I52Q_I66C_R109V_V116A PFOA</t>
  </si>
  <si>
    <t>folde_pfas,folde_pfas_r4</t>
  </si>
  <si>
    <t>FABP4_HUMAN-M41N_I52Q_V74T_R109V PFOA</t>
  </si>
  <si>
    <t>FABP4_HUMAN-M41T_I52Q_V91S_R109V PFOA</t>
  </si>
  <si>
    <t>FABP4_HUMAN-I52Q_G89E_R109V_K121S PFOA</t>
  </si>
  <si>
    <t>FABP4_HUMAN-M41T_I52Q_I66C_R109V PFOA</t>
  </si>
  <si>
    <t>FABP4_HUMAN-I52Q_V74T_G89E_R109V PFOA</t>
  </si>
  <si>
    <t>FABP4_HUMAN-M41N_I52Q_I66K_R109V PFOA</t>
  </si>
  <si>
    <t>FABP4_HUMAN-M41T_I52Q_E55K_R109V PFOA</t>
  </si>
  <si>
    <t>FABP4_HUMAN-M41T_I52Q_V74T_R109V PFOA</t>
  </si>
  <si>
    <t>FABP4_HUMAN-M41N_I52Q_R109V_E110S PFOA</t>
  </si>
  <si>
    <t>FABP4_HUMAN-M41T_I52Q_I66S_R109V PFOA</t>
  </si>
  <si>
    <t>FABP4_HUMAN-M41T_I52Q_G89E_R109V PFOA</t>
  </si>
  <si>
    <t>FABP4_HUMAN-M41N_I52Q_I66S_R109V PFOA</t>
  </si>
  <si>
    <t>FABP4_HUMAN-I52Q_I66C_V74T_R109V PFOA</t>
  </si>
  <si>
    <t>FABP4_HUMAN-I52Q_R109V_K121N_G122S PFOA</t>
  </si>
  <si>
    <t>FABP4_HUMAN-M41T_I52Q_V91K_R109V PFOA</t>
  </si>
  <si>
    <t>FABP4_HUMAN-M41N_I52Q_I66Q_R109V PFOA</t>
  </si>
  <si>
    <t>FABP4_HUMAN-I52Q_R109V_E117S_K121N PFOA</t>
  </si>
  <si>
    <t>FABP4_HUMAN-M41N_I52Q_R109V_E110L PFOA</t>
  </si>
  <si>
    <t>FABP4_HUMAN-M41T_I52Q_I66K_R109V PFOA</t>
  </si>
  <si>
    <t>FABP4_HUMAN-I52Q_V74T_V91S_R109V PFOA</t>
  </si>
  <si>
    <t>FABP4_HUMAN-M41T_I52Q_R109V_E110P PFOA</t>
  </si>
  <si>
    <t>FABP4_HUMAN-I52Q_I66C_R109V_K121N PFOA</t>
  </si>
  <si>
    <t>FABP4_HUMAN-M41T_N46E_I52Q_R109V PFOA</t>
  </si>
  <si>
    <t>FABP4_HUMAN-M41T_I52Q_R109V_K121G PFOA</t>
  </si>
  <si>
    <t>FABP4_HUMAN-I52Q_G89E_R109V_G122E PFOA</t>
  </si>
  <si>
    <t>FABP4_HUMAN-I52Q_V91S_R109V_K121N PFOA</t>
  </si>
  <si>
    <t>FABP4_HUMAN-I52Q_V74T_R109V_K121G PFOA</t>
  </si>
  <si>
    <t>FABP4_HUMAN-M41T_I52Q_I66Q_R109V PFOA</t>
  </si>
  <si>
    <t>FABP4_HUMAN-I52Q_V74T_R109V_E110S PFOA</t>
  </si>
  <si>
    <t>FABP4_HUMAN-M41T_I52Q_R109V_G122E PFOA</t>
  </si>
  <si>
    <t>FABP4_HUMAN-I52Q_R109V_K121G_G122E PFOA</t>
  </si>
  <si>
    <t>FABP4_HUMAN-I52Q_I66Q_V74T_R109V PFOA</t>
  </si>
  <si>
    <t>FABP4_HUMAN-N40T_I52Q_V74T_R109V PFOA</t>
  </si>
  <si>
    <t>FABP4_HUMAN-I52Q_V74T_R109V_K121N PFOA</t>
  </si>
  <si>
    <t>FABP4_HUMAN-I52Q_I66S_V74T_R109V PFOA</t>
  </si>
  <si>
    <t>FABP4_HUMAN-M41T_I52Q_R109V_G122D PFOA</t>
  </si>
  <si>
    <t>FABP4_HUMAN-I52Q_I66K_R109V_G122E PFOA</t>
  </si>
  <si>
    <t>FABP4_HUMAN-I52Q_V74T_R109V_G122D PFOA</t>
  </si>
  <si>
    <t>FABP4_HUMAN-M41N_I52Q_I66N_R109V PFOA</t>
  </si>
  <si>
    <t>FABP4_HUMAN-M41N_I52Q_I66C_R109V PFOA</t>
  </si>
  <si>
    <t>FABP4_HUMAN-I52Q_I66S_R109V_G122E PFOA</t>
  </si>
  <si>
    <t>FABP4_HUMAN-M41S_I52Q_V74T_R109V PFOA</t>
  </si>
  <si>
    <t>FABP4_HUMAN-I52Q_V74T_R109V_D112C PFOA</t>
  </si>
  <si>
    <t>FABP4_HUMAN-I52Q_R109V_E110S_K121N PFOA</t>
  </si>
  <si>
    <t>FABP4_HUMAN-I52Q_R109V_D112C_K121N PFOA</t>
  </si>
  <si>
    <t>FABP4_HUMAN-I52Q_V74T_R109V_E110L PFOA</t>
  </si>
  <si>
    <t>FABP4_HUMAN-N46E_I52Q_R109V_K121N PFOA</t>
  </si>
  <si>
    <t>FABP4_HUMAN-I52Q_I66K_V74T_R109V PFOA</t>
  </si>
  <si>
    <t>fold_tags</t>
  </si>
  <si>
    <t>FABP4_HUMAN-M41N_I52Q_E55K_I66K_R109V PFOA</t>
  </si>
  <si>
    <t>folde_pfas_r5,folde_pfas</t>
  </si>
  <si>
    <t>FABP4_HUMAN-M41R_I52Q_I66C_R109V_V116A PFOA</t>
  </si>
  <si>
    <t>FABP4_HUMAN-M41N_I52Q_E62H_I66K_R109V PFOA</t>
  </si>
  <si>
    <t>FABP4_HUMAN-I52Q_I66C_G89E_R109V_V116A PFOA</t>
  </si>
  <si>
    <t>FABP4_HUMAN-M41N_I52Q_I66K_R109V_E117S PFOA</t>
  </si>
  <si>
    <t>FABP4_HUMAN-I52Q_I66C_R109V_V116A_E117S PFOA</t>
  </si>
  <si>
    <t>FABP4_HUMAN-M41N_I52Q_I66K_R109V_E117C PFOA</t>
  </si>
  <si>
    <t>FABP4_HUMAN-I52Q_I66C_V91K_R109V_V116A PFOA</t>
  </si>
  <si>
    <t>FABP4_HUMAN-M41N_V49C_I52Q_V74T_R109V PFOA</t>
  </si>
  <si>
    <t>FABP4_HUMAN-M41N_I52Q_E62C_I66K_R109V PFOA</t>
  </si>
  <si>
    <t>FABP4_HUMAN-M41T_I52Q_E55K_R109V_E110C PFOA</t>
  </si>
  <si>
    <t>FABP4_HUMAN-M41T_I52Q_E62K_I66C_R109V PFOA</t>
  </si>
  <si>
    <t>FABP4_HUMAN-E15K_M41T_I52Q_E55K_R109V PFOA</t>
  </si>
  <si>
    <t>FABP4_HUMAN-M41T_I52Q_E55K_V91S_R109V PFOA</t>
  </si>
  <si>
    <t>FABP4_HUMAN-M41T_V45K_I52Q_E55K_R109V PFOA</t>
  </si>
  <si>
    <t>FABP4_HUMAN-M41T_V45Q_I52Q_E55K_R109V PFOA</t>
  </si>
  <si>
    <t>FABP4_HUMAN-M41T_I52Q_E55K_R109V_E117S PFOA</t>
  </si>
  <si>
    <t>FABP4_HUMAN-M41T_I52Q_E55K_V91K_R109V PFOA</t>
  </si>
  <si>
    <t>FABP4_HUMAN-M41T_I52Q_E55K_R109V_E117T PFOA</t>
  </si>
  <si>
    <t>FABP4_HUMAN-M41T_I52Q_E55K_R109V_E110K PFOA</t>
  </si>
  <si>
    <t>FABP4_HUMAN-M41T_I52Q_E55K_R109V_E117Q PFOA</t>
  </si>
  <si>
    <t>FABP4_HUMAN-M41T_I52Q_V91S_R109V_E117S PFOA</t>
  </si>
  <si>
    <t>FABP4_HUMAN-M41T_I52Q_E55K_R109V_E117L PFOA</t>
  </si>
  <si>
    <t>FABP4_HUMAN-M41T_I52Q_E55K_R109V_E117V PFOA</t>
  </si>
  <si>
    <t>FABP4_HUMAN-M41T_I52Q_E55K_R109V_E117C PFOA</t>
  </si>
  <si>
    <t>FABP4_HUMAN-M41N_I52Q_R109V_E110S_E117S PFOA</t>
  </si>
  <si>
    <t>FABP4_HUMAN-I52Q_E62K_I66C_R109V_V116A PFOA</t>
  </si>
  <si>
    <t>FABP4_HUMAN-M41N_I52Q_E62K_I66K_R109V PFOA</t>
  </si>
  <si>
    <t>FABP4_HUMAN-M41T_V49K_I52Q_E55K_R109V PFOA</t>
  </si>
  <si>
    <t>FABP4_HUMAN-M41T_I52Q_E55K_I66K_R109V PFOA</t>
  </si>
  <si>
    <t>FABP4_HUMAN-M41T_I52Q_E55K_W98K_R109V PFOA</t>
  </si>
  <si>
    <t>FABP4_HUMAN-M41T_I52Q_E55K_S64K_R109V PFOA</t>
  </si>
  <si>
    <t>FABP4_HUMAN-M41T_I52Q_E55K_R109V_V116S PFOA</t>
  </si>
  <si>
    <t>FABP4_HUMAN-M41T_I52Q_E55K_R109V_V116Q PFOA</t>
  </si>
  <si>
    <t>FABP4_HUMAN-M41T_I52Q_E55K_R109V_V116T PFOA</t>
  </si>
  <si>
    <t>FABP4_HUMAN-M41T_I52Q_E55K_R109V_V116A PFOA</t>
  </si>
  <si>
    <t>FABP4_HUMAN-M41T_I52Q_E55K_I85A_R109V PFOA</t>
  </si>
  <si>
    <t>FABP4_HUMAN-M41T_I52Q_E55K_Q69K_R109V PFOA</t>
  </si>
  <si>
    <t>FABP4_HUMAN-M41T_I52Q_E55K_G89E_R109V PFOA</t>
  </si>
  <si>
    <t>FABP4_HUMAN-M41T_I52Q_E55K_T84C_R109V PFOA</t>
  </si>
  <si>
    <t>FABP4_HUMAN-M41T_I52Q_E55K_I66C_R109V PFOA</t>
  </si>
  <si>
    <t>FABP4_HUMAN-M41T_N46K_I52Q_E55K_R109V PFOA</t>
  </si>
  <si>
    <t>FABP4_HUMAN-M41N_I52Q_E55K_R109V_E110S PFOA</t>
  </si>
  <si>
    <t>FABP4_HUMAN-M41T_I52Q_E55K_R109V_V116M PFOA</t>
  </si>
  <si>
    <t>FABP4_HUMAN-M41T_I52Q_I66C_R109V_V116S PFOA</t>
  </si>
  <si>
    <t>FABP4_HUMAN-M41T_I52Q_E55K_I85G_R109V PFOA</t>
  </si>
  <si>
    <t>FABP4_HUMAN-M41T_I52Q_I66C_R109V_V116N PFOA</t>
  </si>
  <si>
    <t>FABP4_HUMAN-M41T_I52Q_E55K_R109V_V116N PFOA</t>
  </si>
  <si>
    <t>FABP4_HUMAN-I52Q_E55K_I66C_R109V_V116A PFOA</t>
  </si>
  <si>
    <t>FABP4_HUMAN-M41N_I52Q_E55R_I66K_R109V PFOA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</si>
</sst>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AFB9E-75E6-AA46-9048-0A6797FB473F}">
  <dimension ref="A1:K246"/>
  <sheetViews>
    <sheetView tabSelected="1" workbookViewId="0">
      <selection activeCell="J1" sqref="J1:K3"/>
    </sheetView>
  </sheetViews>
  <sheetFormatPr baseColWidth="10" defaultRowHeight="16" x14ac:dyDescent="0.2"/>
  <cols>
    <col min="2" max="2" width="29.83203125" customWidth="1"/>
    <col min="3" max="3" width="23" customWidth="1"/>
  </cols>
  <sheetData>
    <row r="1" spans="1:11" x14ac:dyDescent="0.2">
      <c r="A1" t="s">
        <v>0</v>
      </c>
      <c r="B1" t="s">
        <v>1</v>
      </c>
      <c r="C1" t="s">
        <v>206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55</v>
      </c>
      <c r="K1" t="s">
        <v>56</v>
      </c>
    </row>
    <row r="2" spans="1:11" x14ac:dyDescent="0.2">
      <c r="A2">
        <v>7891</v>
      </c>
      <c r="B2" t="s">
        <v>54</v>
      </c>
      <c r="D2">
        <v>1.5649170875549301</v>
      </c>
      <c r="E2">
        <v>0.48258626461028997</v>
      </c>
      <c r="F2">
        <v>1.7518504858016899</v>
      </c>
      <c r="G2">
        <v>0.49576818943023598</v>
      </c>
      <c r="H2">
        <v>1.3779838085174501</v>
      </c>
      <c r="I2">
        <v>0.46940430998802102</v>
      </c>
      <c r="J2" t="str">
        <f t="shared" ref="J2:J33" si="0">_xlfn.TEXTBEFORE(_xlfn.TEXTAFTER(B2,"-")," ")</f>
        <v>WT</v>
      </c>
      <c r="K2">
        <f t="shared" ref="K2" si="1">$D$2-D2</f>
        <v>0</v>
      </c>
    </row>
    <row r="3" spans="1:11" x14ac:dyDescent="0.2">
      <c r="A3">
        <v>7921</v>
      </c>
      <c r="B3" t="s">
        <v>49</v>
      </c>
      <c r="D3">
        <v>1.40643846988677</v>
      </c>
      <c r="E3">
        <v>0.49357241392135598</v>
      </c>
      <c r="F3">
        <v>1.4248377084732</v>
      </c>
      <c r="G3">
        <v>0.50067257881164495</v>
      </c>
      <c r="H3">
        <v>1.38803923130035</v>
      </c>
      <c r="I3">
        <v>0.48647221922874401</v>
      </c>
      <c r="J3" t="str">
        <f t="shared" si="0"/>
        <v>M41L</v>
      </c>
      <c r="K3">
        <f t="shared" ref="K3:K66" si="2">$D$2-D3</f>
        <v>0.15847861766816007</v>
      </c>
    </row>
    <row r="4" spans="1:11" x14ac:dyDescent="0.2">
      <c r="A4">
        <v>7955</v>
      </c>
      <c r="B4" t="s">
        <v>15</v>
      </c>
      <c r="D4">
        <v>1.4193129539489699</v>
      </c>
      <c r="E4">
        <v>0.51027870178222601</v>
      </c>
      <c r="F4">
        <v>1.5438753366470299</v>
      </c>
      <c r="G4">
        <v>0.52163761854171697</v>
      </c>
      <c r="H4">
        <v>1.2947506904602</v>
      </c>
      <c r="I4">
        <v>0.49891972541808999</v>
      </c>
      <c r="J4" t="str">
        <f t="shared" si="0"/>
        <v>I52M</v>
      </c>
      <c r="K4">
        <f t="shared" si="2"/>
        <v>0.14560413360596014</v>
      </c>
    </row>
    <row r="5" spans="1:11" x14ac:dyDescent="0.2">
      <c r="A5">
        <v>7945</v>
      </c>
      <c r="B5" t="s">
        <v>25</v>
      </c>
      <c r="D5">
        <v>1.4275984764099099</v>
      </c>
      <c r="E5">
        <v>0.47864633798599199</v>
      </c>
      <c r="F5">
        <v>1.52331984043121</v>
      </c>
      <c r="G5">
        <v>0.49052619934081998</v>
      </c>
      <c r="H5">
        <v>1.3318772315978999</v>
      </c>
      <c r="I5">
        <v>0.46676650643348599</v>
      </c>
      <c r="J5" t="str">
        <f t="shared" si="0"/>
        <v>I50V</v>
      </c>
      <c r="K5">
        <f t="shared" si="2"/>
        <v>0.1373186111450202</v>
      </c>
    </row>
    <row r="6" spans="1:11" x14ac:dyDescent="0.2">
      <c r="A6">
        <v>7937</v>
      </c>
      <c r="B6" t="s">
        <v>33</v>
      </c>
      <c r="D6">
        <v>1.44014644622802</v>
      </c>
      <c r="E6">
        <v>0.468910962343215</v>
      </c>
      <c r="F6">
        <v>1.5301551818847601</v>
      </c>
      <c r="G6">
        <v>0.486491829156875</v>
      </c>
      <c r="H6">
        <v>1.35013771057128</v>
      </c>
      <c r="I6">
        <v>0.451330095529556</v>
      </c>
      <c r="J6" t="str">
        <f t="shared" si="0"/>
        <v>S102Q</v>
      </c>
      <c r="K6">
        <f t="shared" si="2"/>
        <v>0.12477064132691007</v>
      </c>
    </row>
    <row r="7" spans="1:11" x14ac:dyDescent="0.2">
      <c r="A7">
        <v>7922</v>
      </c>
      <c r="B7" t="s">
        <v>48</v>
      </c>
      <c r="D7">
        <v>1.4432241916656401</v>
      </c>
      <c r="E7">
        <v>0.474892437458038</v>
      </c>
      <c r="F7">
        <v>1.5096033811569201</v>
      </c>
      <c r="G7">
        <v>0.49213868379592801</v>
      </c>
      <c r="H7">
        <v>1.3768448829650799</v>
      </c>
      <c r="I7">
        <v>0.45764619112014698</v>
      </c>
      <c r="J7" t="str">
        <f t="shared" si="0"/>
        <v>S102D</v>
      </c>
      <c r="K7">
        <f t="shared" si="2"/>
        <v>0.12169289588929</v>
      </c>
    </row>
    <row r="8" spans="1:11" x14ac:dyDescent="0.2">
      <c r="A8">
        <v>7942</v>
      </c>
      <c r="B8" t="s">
        <v>28</v>
      </c>
      <c r="D8">
        <v>1.45185327529907</v>
      </c>
      <c r="E8">
        <v>0.48476046323776201</v>
      </c>
      <c r="F8">
        <v>1.5523477792739799</v>
      </c>
      <c r="G8">
        <v>0.49455037713050798</v>
      </c>
      <c r="H8">
        <v>1.3513588905334399</v>
      </c>
      <c r="I8">
        <v>0.47497051954269398</v>
      </c>
      <c r="J8" t="str">
        <f t="shared" si="0"/>
        <v>K121S</v>
      </c>
      <c r="K8">
        <f t="shared" si="2"/>
        <v>0.11306381225586004</v>
      </c>
    </row>
    <row r="9" spans="1:11" x14ac:dyDescent="0.2">
      <c r="A9">
        <v>7941</v>
      </c>
      <c r="B9" t="s">
        <v>29</v>
      </c>
      <c r="D9">
        <v>1.4671217203140201</v>
      </c>
      <c r="E9">
        <v>0.48561537265777499</v>
      </c>
      <c r="F9">
        <v>1.5766810178756701</v>
      </c>
      <c r="G9">
        <v>0.49488514661788902</v>
      </c>
      <c r="H9">
        <v>1.3575624227523799</v>
      </c>
      <c r="I9">
        <v>0.47634559869766202</v>
      </c>
      <c r="J9" t="str">
        <f t="shared" si="0"/>
        <v>V91S</v>
      </c>
      <c r="K9">
        <f t="shared" si="2"/>
        <v>9.7795367240909981E-2</v>
      </c>
    </row>
    <row r="10" spans="1:11" x14ac:dyDescent="0.2">
      <c r="A10">
        <v>7962</v>
      </c>
      <c r="B10" t="s">
        <v>8</v>
      </c>
      <c r="D10">
        <v>1.4738365411758401</v>
      </c>
      <c r="E10">
        <v>0.48066627979278498</v>
      </c>
      <c r="F10">
        <v>1.6099708080291699</v>
      </c>
      <c r="G10">
        <v>0.49361163377761802</v>
      </c>
      <c r="H10">
        <v>1.3377022743225</v>
      </c>
      <c r="I10">
        <v>0.46772089600562999</v>
      </c>
      <c r="J10" t="str">
        <f t="shared" si="0"/>
        <v>R109V</v>
      </c>
      <c r="K10">
        <f t="shared" si="2"/>
        <v>9.1080546379090022E-2</v>
      </c>
    </row>
    <row r="11" spans="1:11" x14ac:dyDescent="0.2">
      <c r="A11">
        <v>7940</v>
      </c>
      <c r="B11" t="s">
        <v>30</v>
      </c>
      <c r="D11">
        <v>1.4744281768798799</v>
      </c>
      <c r="E11">
        <v>0.49819874763488697</v>
      </c>
      <c r="F11">
        <v>1.6202480792999201</v>
      </c>
      <c r="G11">
        <v>0.50583100318908603</v>
      </c>
      <c r="H11">
        <v>1.32860839366912</v>
      </c>
      <c r="I11">
        <v>0.49056646227836598</v>
      </c>
      <c r="J11" t="str">
        <f t="shared" si="0"/>
        <v>I52L</v>
      </c>
      <c r="K11">
        <f t="shared" si="2"/>
        <v>9.048891067505016E-2</v>
      </c>
    </row>
    <row r="12" spans="1:11" x14ac:dyDescent="0.2">
      <c r="A12">
        <v>7919</v>
      </c>
      <c r="B12" t="s">
        <v>51</v>
      </c>
      <c r="D12">
        <v>1.48819899559021</v>
      </c>
      <c r="E12">
        <v>0.47449636459350503</v>
      </c>
      <c r="F12">
        <v>1.5988200902938801</v>
      </c>
      <c r="G12">
        <v>0.47884249687194802</v>
      </c>
      <c r="H12">
        <v>1.3775777816772401</v>
      </c>
      <c r="I12">
        <v>0.47015020251274098</v>
      </c>
      <c r="J12" t="str">
        <f t="shared" si="0"/>
        <v>I66K</v>
      </c>
      <c r="K12">
        <f t="shared" si="2"/>
        <v>7.6718091964720125E-2</v>
      </c>
    </row>
    <row r="13" spans="1:11" x14ac:dyDescent="0.2">
      <c r="A13">
        <v>7956</v>
      </c>
      <c r="B13" t="s">
        <v>14</v>
      </c>
      <c r="D13">
        <v>1.4931504726409901</v>
      </c>
      <c r="E13">
        <v>0.48313093185424799</v>
      </c>
      <c r="F13">
        <v>1.6304854154586701</v>
      </c>
      <c r="G13">
        <v>0.50492739677429199</v>
      </c>
      <c r="H13">
        <v>1.3558155298232999</v>
      </c>
      <c r="I13">
        <v>0.46133446693420399</v>
      </c>
      <c r="J13" t="str">
        <f t="shared" si="0"/>
        <v>K121E</v>
      </c>
      <c r="K13">
        <f t="shared" si="2"/>
        <v>7.1766614913939986E-2</v>
      </c>
    </row>
    <row r="14" spans="1:11" x14ac:dyDescent="0.2">
      <c r="A14">
        <v>7944</v>
      </c>
      <c r="B14" t="s">
        <v>26</v>
      </c>
      <c r="D14">
        <v>1.50527191162109</v>
      </c>
      <c r="E14">
        <v>0.51573753356933505</v>
      </c>
      <c r="F14">
        <v>1.6781818866729701</v>
      </c>
      <c r="G14">
        <v>0.54562067985534601</v>
      </c>
      <c r="H14">
        <v>1.3323619365692101</v>
      </c>
      <c r="I14">
        <v>0.48585435748100197</v>
      </c>
      <c r="J14" t="str">
        <f t="shared" si="0"/>
        <v>M41T</v>
      </c>
      <c r="K14">
        <f t="shared" si="2"/>
        <v>5.9645175933840111E-2</v>
      </c>
    </row>
    <row r="15" spans="1:11" x14ac:dyDescent="0.2">
      <c r="A15">
        <v>7918</v>
      </c>
      <c r="B15" t="s">
        <v>52</v>
      </c>
      <c r="D15">
        <v>1.5070872306823699</v>
      </c>
      <c r="E15">
        <v>0.48547837138175898</v>
      </c>
      <c r="F15">
        <v>1.5871223211288401</v>
      </c>
      <c r="G15">
        <v>0.50213104486465399</v>
      </c>
      <c r="H15">
        <v>1.42705225944519</v>
      </c>
      <c r="I15">
        <v>0.46882569789886402</v>
      </c>
      <c r="J15" t="str">
        <f t="shared" si="0"/>
        <v>K121N</v>
      </c>
      <c r="K15">
        <f t="shared" si="2"/>
        <v>5.7829856872560148E-2</v>
      </c>
    </row>
    <row r="16" spans="1:11" x14ac:dyDescent="0.2">
      <c r="A16">
        <v>7917</v>
      </c>
      <c r="B16" t="s">
        <v>53</v>
      </c>
      <c r="D16">
        <v>1.5105059146881099</v>
      </c>
      <c r="E16">
        <v>0.48622250556945801</v>
      </c>
      <c r="F16">
        <v>1.60267674922943</v>
      </c>
      <c r="G16">
        <v>0.497695982456207</v>
      </c>
      <c r="H16">
        <v>1.4183349609375</v>
      </c>
      <c r="I16">
        <v>0.47474905848503102</v>
      </c>
      <c r="J16" t="str">
        <f t="shared" si="0"/>
        <v>I66T</v>
      </c>
      <c r="K16">
        <f t="shared" si="2"/>
        <v>5.4411172866820179E-2</v>
      </c>
    </row>
    <row r="17" spans="1:11" x14ac:dyDescent="0.2">
      <c r="A17">
        <v>7936</v>
      </c>
      <c r="B17" t="s">
        <v>34</v>
      </c>
      <c r="D17">
        <v>1.5111060142517001</v>
      </c>
      <c r="E17">
        <v>0.453115344047546</v>
      </c>
      <c r="F17">
        <v>1.5962554216384801</v>
      </c>
      <c r="G17">
        <v>0.46324646472930903</v>
      </c>
      <c r="H17">
        <v>1.4259564876556301</v>
      </c>
      <c r="I17">
        <v>0.44298422336578303</v>
      </c>
      <c r="J17" t="str">
        <f t="shared" si="0"/>
        <v>S102V</v>
      </c>
      <c r="K17">
        <f t="shared" si="2"/>
        <v>5.3811073303229984E-2</v>
      </c>
    </row>
    <row r="18" spans="1:11" x14ac:dyDescent="0.2">
      <c r="A18">
        <v>7952</v>
      </c>
      <c r="B18" t="s">
        <v>18</v>
      </c>
      <c r="D18">
        <v>1.5125808715820299</v>
      </c>
      <c r="E18">
        <v>0.479553133249282</v>
      </c>
      <c r="F18">
        <v>1.65748250484466</v>
      </c>
      <c r="G18">
        <v>0.480298101902008</v>
      </c>
      <c r="H18">
        <v>1.3676791191101001</v>
      </c>
      <c r="I18">
        <v>0.47880816459655701</v>
      </c>
      <c r="J18" t="str">
        <f t="shared" si="0"/>
        <v>I66V</v>
      </c>
      <c r="K18">
        <f t="shared" si="2"/>
        <v>5.2336215972900169E-2</v>
      </c>
    </row>
    <row r="19" spans="1:11" x14ac:dyDescent="0.2">
      <c r="A19">
        <v>7960</v>
      </c>
      <c r="B19" t="s">
        <v>10</v>
      </c>
      <c r="D19">
        <v>1.5156785249710001</v>
      </c>
      <c r="E19">
        <v>0.46753656864166199</v>
      </c>
      <c r="F19">
        <v>1.59457027912139</v>
      </c>
      <c r="G19">
        <v>0.48666873574256803</v>
      </c>
      <c r="H19">
        <v>1.4367867708206099</v>
      </c>
      <c r="I19">
        <v>0.44840437173843301</v>
      </c>
      <c r="J19" t="str">
        <f t="shared" si="0"/>
        <v>M36V</v>
      </c>
      <c r="K19">
        <f t="shared" si="2"/>
        <v>4.9238562583930001E-2</v>
      </c>
    </row>
    <row r="20" spans="1:11" x14ac:dyDescent="0.2">
      <c r="A20">
        <v>7950</v>
      </c>
      <c r="B20" t="s">
        <v>20</v>
      </c>
      <c r="D20">
        <v>1.5210752487182599</v>
      </c>
      <c r="E20">
        <v>0.463288873434066</v>
      </c>
      <c r="F20">
        <v>1.6249076128005899</v>
      </c>
      <c r="G20">
        <v>0.48233187198638899</v>
      </c>
      <c r="H20">
        <v>1.41724276542663</v>
      </c>
      <c r="I20">
        <v>0.444245874881744</v>
      </c>
      <c r="J20" t="str">
        <f t="shared" si="0"/>
        <v>S102K</v>
      </c>
      <c r="K20">
        <f t="shared" si="2"/>
        <v>4.3841838836670144E-2</v>
      </c>
    </row>
    <row r="21" spans="1:11" x14ac:dyDescent="0.2">
      <c r="A21">
        <v>7929</v>
      </c>
      <c r="B21" t="s">
        <v>41</v>
      </c>
      <c r="D21">
        <v>1.52301681041717</v>
      </c>
      <c r="E21">
        <v>0.47554773092269897</v>
      </c>
      <c r="F21">
        <v>1.69410383701324</v>
      </c>
      <c r="G21">
        <v>0.48896002769470198</v>
      </c>
      <c r="H21">
        <v>1.3519297838211</v>
      </c>
      <c r="I21">
        <v>0.46213546395301802</v>
      </c>
      <c r="J21" t="str">
        <f t="shared" si="0"/>
        <v>R109L</v>
      </c>
      <c r="K21">
        <f t="shared" si="2"/>
        <v>4.1900277137760122E-2</v>
      </c>
    </row>
    <row r="22" spans="1:11" x14ac:dyDescent="0.2">
      <c r="A22">
        <v>7947</v>
      </c>
      <c r="B22" t="s">
        <v>23</v>
      </c>
      <c r="D22">
        <v>1.5233626365661599</v>
      </c>
      <c r="E22">
        <v>0.48388516902923501</v>
      </c>
      <c r="F22">
        <v>1.6344923973083401</v>
      </c>
      <c r="G22">
        <v>0.48848214745521501</v>
      </c>
      <c r="H22">
        <v>1.4122328758239699</v>
      </c>
      <c r="I22">
        <v>0.47928816080093301</v>
      </c>
      <c r="J22" t="str">
        <f t="shared" si="0"/>
        <v>Q69K</v>
      </c>
      <c r="K22">
        <f t="shared" si="2"/>
        <v>4.1554450988770197E-2</v>
      </c>
    </row>
    <row r="23" spans="1:11" x14ac:dyDescent="0.2">
      <c r="A23">
        <v>7953</v>
      </c>
      <c r="B23" t="s">
        <v>17</v>
      </c>
      <c r="D23">
        <v>1.5244126319885201</v>
      </c>
      <c r="E23">
        <v>0.48168998956680298</v>
      </c>
      <c r="F23">
        <v>1.65729403495788</v>
      </c>
      <c r="G23">
        <v>0.48173397779464699</v>
      </c>
      <c r="H23">
        <v>1.3915312290191599</v>
      </c>
      <c r="I23">
        <v>0.48164597153663602</v>
      </c>
      <c r="J23" t="str">
        <f t="shared" si="0"/>
        <v>I66E</v>
      </c>
      <c r="K23">
        <f t="shared" si="2"/>
        <v>4.0504455566410025E-2</v>
      </c>
    </row>
    <row r="24" spans="1:11" x14ac:dyDescent="0.2">
      <c r="A24">
        <v>7930</v>
      </c>
      <c r="B24" t="s">
        <v>40</v>
      </c>
      <c r="D24">
        <v>1.5246597528457599</v>
      </c>
      <c r="E24">
        <v>0.46075958013534501</v>
      </c>
      <c r="F24">
        <v>1.59984850883483</v>
      </c>
      <c r="G24">
        <v>0.496308833360672</v>
      </c>
      <c r="H24">
        <v>1.4494709968566799</v>
      </c>
      <c r="I24">
        <v>0.42521035671234098</v>
      </c>
      <c r="J24" t="str">
        <f t="shared" si="0"/>
        <v>V24L</v>
      </c>
      <c r="K24">
        <f t="shared" si="2"/>
        <v>4.0257334709170145E-2</v>
      </c>
    </row>
    <row r="25" spans="1:11" x14ac:dyDescent="0.2">
      <c r="A25">
        <v>7928</v>
      </c>
      <c r="B25" t="s">
        <v>42</v>
      </c>
      <c r="D25">
        <v>1.5251495838165201</v>
      </c>
      <c r="E25">
        <v>0.481453657150268</v>
      </c>
      <c r="F25">
        <v>1.6628156900405799</v>
      </c>
      <c r="G25">
        <v>0.50096565485000599</v>
      </c>
      <c r="H25">
        <v>1.38748359680175</v>
      </c>
      <c r="I25">
        <v>0.461941689252853</v>
      </c>
      <c r="J25" t="str">
        <f t="shared" si="0"/>
        <v>D111G</v>
      </c>
      <c r="K25">
        <f t="shared" si="2"/>
        <v>3.9767503738409982E-2</v>
      </c>
    </row>
    <row r="26" spans="1:11" x14ac:dyDescent="0.2">
      <c r="A26">
        <v>7948</v>
      </c>
      <c r="B26" t="s">
        <v>22</v>
      </c>
      <c r="D26">
        <v>1.52519023418426</v>
      </c>
      <c r="E26">
        <v>0.47285205125808699</v>
      </c>
      <c r="F26">
        <v>1.61303746700286</v>
      </c>
      <c r="G26">
        <v>0.501911401748657</v>
      </c>
      <c r="H26">
        <v>1.4373430013656601</v>
      </c>
      <c r="I26">
        <v>0.44379267096519398</v>
      </c>
      <c r="J26" t="str">
        <f t="shared" si="0"/>
        <v>V24I</v>
      </c>
      <c r="K26">
        <f t="shared" si="2"/>
        <v>3.9726853370670057E-2</v>
      </c>
    </row>
    <row r="27" spans="1:11" x14ac:dyDescent="0.2">
      <c r="A27">
        <v>7925</v>
      </c>
      <c r="B27" t="s">
        <v>45</v>
      </c>
      <c r="D27">
        <v>1.5297315120696999</v>
      </c>
      <c r="E27">
        <v>0.48296207189559898</v>
      </c>
      <c r="F27">
        <v>1.6412428617477399</v>
      </c>
      <c r="G27">
        <v>0.50812017917633001</v>
      </c>
      <c r="H27">
        <v>1.4182201623916599</v>
      </c>
      <c r="I27">
        <v>0.45780399441719</v>
      </c>
      <c r="J27" t="str">
        <f t="shared" si="0"/>
        <v>I66Q</v>
      </c>
      <c r="K27">
        <f t="shared" si="2"/>
        <v>3.5185575485230158E-2</v>
      </c>
    </row>
    <row r="28" spans="1:11" x14ac:dyDescent="0.2">
      <c r="A28">
        <v>7927</v>
      </c>
      <c r="B28" t="s">
        <v>43</v>
      </c>
      <c r="D28">
        <v>1.5309479236602701</v>
      </c>
      <c r="E28">
        <v>0.47644990682601901</v>
      </c>
      <c r="F28">
        <v>1.6527737379073999</v>
      </c>
      <c r="G28">
        <v>0.48684391379356301</v>
      </c>
      <c r="H28">
        <v>1.4091222286224301</v>
      </c>
      <c r="I28">
        <v>0.46605592966079701</v>
      </c>
      <c r="J28" t="str">
        <f t="shared" si="0"/>
        <v>I66N</v>
      </c>
      <c r="K28">
        <f t="shared" si="2"/>
        <v>3.3969163894659982E-2</v>
      </c>
    </row>
    <row r="29" spans="1:11" x14ac:dyDescent="0.2">
      <c r="A29">
        <v>7934</v>
      </c>
      <c r="B29" t="s">
        <v>36</v>
      </c>
      <c r="D29">
        <v>1.53511142730712</v>
      </c>
      <c r="E29">
        <v>0.47143238782882602</v>
      </c>
      <c r="F29">
        <v>1.64271020889282</v>
      </c>
      <c r="G29">
        <v>0.49412909150123502</v>
      </c>
      <c r="H29">
        <v>1.42751252651214</v>
      </c>
      <c r="I29">
        <v>0.44873571395874001</v>
      </c>
      <c r="J29" t="str">
        <f t="shared" si="0"/>
        <v>V74T</v>
      </c>
      <c r="K29">
        <f t="shared" si="2"/>
        <v>2.9805660247810062E-2</v>
      </c>
    </row>
    <row r="30" spans="1:11" x14ac:dyDescent="0.2">
      <c r="A30">
        <v>7924</v>
      </c>
      <c r="B30" t="s">
        <v>46</v>
      </c>
      <c r="D30">
        <v>1.5372886657714799</v>
      </c>
      <c r="E30">
        <v>0.47511780261993403</v>
      </c>
      <c r="F30">
        <v>1.7053151130676201</v>
      </c>
      <c r="G30">
        <v>0.50403040647506703</v>
      </c>
      <c r="H30">
        <v>1.36926221847534</v>
      </c>
      <c r="I30">
        <v>0.44620519876480103</v>
      </c>
      <c r="J30" t="str">
        <f t="shared" si="0"/>
        <v>R131K</v>
      </c>
      <c r="K30">
        <f t="shared" si="2"/>
        <v>2.7628421783450152E-2</v>
      </c>
    </row>
    <row r="31" spans="1:11" x14ac:dyDescent="0.2">
      <c r="A31">
        <v>7943</v>
      </c>
      <c r="B31" t="s">
        <v>27</v>
      </c>
      <c r="D31">
        <v>1.53796887397766</v>
      </c>
      <c r="E31">
        <v>0.46120971441268899</v>
      </c>
      <c r="F31">
        <v>1.6604697704315099</v>
      </c>
      <c r="G31">
        <v>0.46862685680389399</v>
      </c>
      <c r="H31">
        <v>1.4154680967330899</v>
      </c>
      <c r="I31">
        <v>0.45379257202148399</v>
      </c>
      <c r="J31" t="str">
        <f t="shared" si="0"/>
        <v>V49T</v>
      </c>
      <c r="K31">
        <f t="shared" si="2"/>
        <v>2.6948213577270064E-2</v>
      </c>
    </row>
    <row r="32" spans="1:11" x14ac:dyDescent="0.2">
      <c r="A32">
        <v>7959</v>
      </c>
      <c r="B32" t="s">
        <v>11</v>
      </c>
      <c r="D32">
        <v>1.54005002975463</v>
      </c>
      <c r="E32">
        <v>0.48098087310790999</v>
      </c>
      <c r="F32">
        <v>1.6863020658493</v>
      </c>
      <c r="G32">
        <v>0.49491199851036</v>
      </c>
      <c r="H32">
        <v>1.39379811286926</v>
      </c>
      <c r="I32">
        <v>0.46704977750778198</v>
      </c>
      <c r="J32" t="str">
        <f t="shared" si="0"/>
        <v>V95E</v>
      </c>
      <c r="K32">
        <f t="shared" si="2"/>
        <v>2.4867057800300074E-2</v>
      </c>
    </row>
    <row r="33" spans="1:11" x14ac:dyDescent="0.2">
      <c r="A33">
        <v>7920</v>
      </c>
      <c r="B33" t="s">
        <v>50</v>
      </c>
      <c r="D33">
        <v>1.5404014587402299</v>
      </c>
      <c r="E33">
        <v>0.46594494581222501</v>
      </c>
      <c r="F33">
        <v>1.6591426134109399</v>
      </c>
      <c r="G33">
        <v>0.48598068952560403</v>
      </c>
      <c r="H33">
        <v>1.4216603040695099</v>
      </c>
      <c r="I33">
        <v>0.44590920209884599</v>
      </c>
      <c r="J33" t="str">
        <f t="shared" si="0"/>
        <v>S102E</v>
      </c>
      <c r="K33">
        <f t="shared" si="2"/>
        <v>2.4515628814700152E-2</v>
      </c>
    </row>
    <row r="34" spans="1:11" x14ac:dyDescent="0.2">
      <c r="A34">
        <v>7931</v>
      </c>
      <c r="B34" t="s">
        <v>39</v>
      </c>
      <c r="D34">
        <v>1.5452690124511701</v>
      </c>
      <c r="E34">
        <v>0.48569792509078902</v>
      </c>
      <c r="F34">
        <v>1.74783515930175</v>
      </c>
      <c r="G34">
        <v>0.48956888914108199</v>
      </c>
      <c r="H34">
        <v>1.3427028656005799</v>
      </c>
      <c r="I34">
        <v>0.48182699084281899</v>
      </c>
      <c r="J34" t="str">
        <f t="shared" ref="J34:J65" si="3">_xlfn.TEXTBEFORE(_xlfn.TEXTAFTER(B34,"-")," ")</f>
        <v>K121A</v>
      </c>
      <c r="K34">
        <f t="shared" si="2"/>
        <v>1.9648075103759988E-2</v>
      </c>
    </row>
    <row r="35" spans="1:11" x14ac:dyDescent="0.2">
      <c r="A35">
        <v>7933</v>
      </c>
      <c r="B35" t="s">
        <v>37</v>
      </c>
      <c r="D35">
        <v>1.5461661815643299</v>
      </c>
      <c r="E35">
        <v>0.48099482059478699</v>
      </c>
      <c r="F35">
        <v>1.70065152645111</v>
      </c>
      <c r="G35">
        <v>0.47831270098686202</v>
      </c>
      <c r="H35">
        <v>1.3916809558868399</v>
      </c>
      <c r="I35">
        <v>0.48367691040039001</v>
      </c>
      <c r="J35" t="str">
        <f t="shared" si="3"/>
        <v>I66S</v>
      </c>
      <c r="K35">
        <f t="shared" si="2"/>
        <v>1.8750905990600142E-2</v>
      </c>
    </row>
    <row r="36" spans="1:11" x14ac:dyDescent="0.2">
      <c r="A36">
        <v>7939</v>
      </c>
      <c r="B36" t="s">
        <v>31</v>
      </c>
      <c r="D36">
        <v>1.55360627174377</v>
      </c>
      <c r="E36">
        <v>0.46845853328704801</v>
      </c>
      <c r="F36">
        <v>1.70048415660858</v>
      </c>
      <c r="G36">
        <v>0.47065952420234602</v>
      </c>
      <c r="H36">
        <v>1.40672826766967</v>
      </c>
      <c r="I36">
        <v>0.46625757217407199</v>
      </c>
      <c r="J36" t="str">
        <f t="shared" si="3"/>
        <v>M41I</v>
      </c>
      <c r="K36">
        <f t="shared" si="2"/>
        <v>1.1310815811160113E-2</v>
      </c>
    </row>
    <row r="37" spans="1:11" x14ac:dyDescent="0.2">
      <c r="A37">
        <v>7935</v>
      </c>
      <c r="B37" t="s">
        <v>35</v>
      </c>
      <c r="D37">
        <v>1.5724750757217401</v>
      </c>
      <c r="E37">
        <v>0.48865547776222201</v>
      </c>
      <c r="F37">
        <v>1.75938725471496</v>
      </c>
      <c r="G37">
        <v>0.49081251025199801</v>
      </c>
      <c r="H37">
        <v>1.3855628967285101</v>
      </c>
      <c r="I37">
        <v>0.48649844527244501</v>
      </c>
      <c r="J37" t="str">
        <f t="shared" si="3"/>
        <v>V91A</v>
      </c>
      <c r="K37">
        <f t="shared" si="2"/>
        <v>-7.5579881668099702E-3</v>
      </c>
    </row>
    <row r="38" spans="1:11" x14ac:dyDescent="0.2">
      <c r="A38">
        <v>7938</v>
      </c>
      <c r="B38" t="s">
        <v>32</v>
      </c>
      <c r="D38">
        <v>1.57925653457641</v>
      </c>
      <c r="E38">
        <v>0.46548399329185403</v>
      </c>
      <c r="F38">
        <v>1.6918593645095801</v>
      </c>
      <c r="G38">
        <v>0.48759144544601402</v>
      </c>
      <c r="H38">
        <v>1.46665382385253</v>
      </c>
      <c r="I38">
        <v>0.44337654113769498</v>
      </c>
      <c r="J38" t="str">
        <f t="shared" si="3"/>
        <v>S102T</v>
      </c>
      <c r="K38">
        <f t="shared" si="2"/>
        <v>-1.4339447021479934E-2</v>
      </c>
    </row>
    <row r="39" spans="1:11" x14ac:dyDescent="0.2">
      <c r="A39">
        <v>7946</v>
      </c>
      <c r="B39" t="s">
        <v>24</v>
      </c>
      <c r="D39">
        <v>1.5818171501159599</v>
      </c>
      <c r="E39">
        <v>0.477999508380889</v>
      </c>
      <c r="F39">
        <v>1.78286969661712</v>
      </c>
      <c r="G39">
        <v>0.48876038193702698</v>
      </c>
      <c r="H39">
        <v>1.38076448440551</v>
      </c>
      <c r="I39">
        <v>0.46723863482475197</v>
      </c>
      <c r="J39" t="str">
        <f t="shared" si="3"/>
        <v>K121G</v>
      </c>
      <c r="K39">
        <f t="shared" si="2"/>
        <v>-1.6900062561029827E-2</v>
      </c>
    </row>
    <row r="40" spans="1:11" x14ac:dyDescent="0.2">
      <c r="A40">
        <v>7961</v>
      </c>
      <c r="B40" t="s">
        <v>9</v>
      </c>
      <c r="D40">
        <v>1.58345651626586</v>
      </c>
      <c r="E40">
        <v>0.47759348154067899</v>
      </c>
      <c r="F40">
        <v>1.76357090473175</v>
      </c>
      <c r="G40">
        <v>0.49012643098831099</v>
      </c>
      <c r="H40">
        <v>1.40334224700927</v>
      </c>
      <c r="I40">
        <v>0.46506050229072499</v>
      </c>
      <c r="J40" t="str">
        <f t="shared" si="3"/>
        <v>V91T</v>
      </c>
      <c r="K40">
        <f t="shared" si="2"/>
        <v>-1.853942871092995E-2</v>
      </c>
    </row>
    <row r="41" spans="1:11" x14ac:dyDescent="0.2">
      <c r="A41">
        <v>7957</v>
      </c>
      <c r="B41" t="s">
        <v>13</v>
      </c>
      <c r="D41">
        <v>1.59496080875396</v>
      </c>
      <c r="E41">
        <v>0.46148052811622597</v>
      </c>
      <c r="F41">
        <v>1.7900813817977901</v>
      </c>
      <c r="G41">
        <v>0.46023866534232999</v>
      </c>
      <c r="H41">
        <v>1.39984023571014</v>
      </c>
      <c r="I41">
        <v>0.46272239089012102</v>
      </c>
      <c r="J41" t="str">
        <f t="shared" si="3"/>
        <v>I85V</v>
      </c>
      <c r="K41">
        <f t="shared" si="2"/>
        <v>-3.0043721199029871E-2</v>
      </c>
    </row>
    <row r="42" spans="1:11" x14ac:dyDescent="0.2">
      <c r="A42">
        <v>7932</v>
      </c>
      <c r="B42" t="s">
        <v>38</v>
      </c>
      <c r="D42">
        <v>1.5969719886779701</v>
      </c>
      <c r="E42">
        <v>0.48709839582443198</v>
      </c>
      <c r="F42">
        <v>1.76974236965179</v>
      </c>
      <c r="G42">
        <v>0.49817231297492898</v>
      </c>
      <c r="H42">
        <v>1.4242014884948699</v>
      </c>
      <c r="I42">
        <v>0.47602447867393399</v>
      </c>
      <c r="J42" t="str">
        <f t="shared" si="3"/>
        <v>K121D</v>
      </c>
      <c r="K42">
        <f t="shared" si="2"/>
        <v>-3.2054901123039992E-2</v>
      </c>
    </row>
    <row r="43" spans="1:11" x14ac:dyDescent="0.2">
      <c r="A43">
        <v>7926</v>
      </c>
      <c r="B43" t="s">
        <v>44</v>
      </c>
      <c r="D43">
        <v>1.59782397747039</v>
      </c>
      <c r="E43">
        <v>0.47960251569747903</v>
      </c>
      <c r="F43">
        <v>1.8254586458206099</v>
      </c>
      <c r="G43">
        <v>0.48841768503188998</v>
      </c>
      <c r="H43">
        <v>1.37018930912017</v>
      </c>
      <c r="I43">
        <v>0.47078737616539001</v>
      </c>
      <c r="J43" t="str">
        <f t="shared" si="3"/>
        <v>M41V</v>
      </c>
      <c r="K43">
        <f t="shared" si="2"/>
        <v>-3.2906889915459869E-2</v>
      </c>
    </row>
    <row r="44" spans="1:11" x14ac:dyDescent="0.2">
      <c r="A44">
        <v>7958</v>
      </c>
      <c r="B44" t="s">
        <v>12</v>
      </c>
      <c r="D44">
        <v>1.6094956398010201</v>
      </c>
      <c r="E44">
        <v>0.49126309156417802</v>
      </c>
      <c r="F44">
        <v>1.8165978193282999</v>
      </c>
      <c r="G44">
        <v>0.512986540794372</v>
      </c>
      <c r="H44">
        <v>1.40239334106445</v>
      </c>
      <c r="I44">
        <v>0.46953961253166199</v>
      </c>
      <c r="J44" t="str">
        <f t="shared" si="3"/>
        <v>M41C</v>
      </c>
      <c r="K44">
        <f t="shared" si="2"/>
        <v>-4.4578552246089975E-2</v>
      </c>
    </row>
    <row r="45" spans="1:11" x14ac:dyDescent="0.2">
      <c r="A45">
        <v>7923</v>
      </c>
      <c r="B45" t="s">
        <v>47</v>
      </c>
      <c r="D45">
        <v>1.6336691379547099</v>
      </c>
      <c r="E45">
        <v>0.45565325021743702</v>
      </c>
      <c r="F45">
        <v>1.8281790018081601</v>
      </c>
      <c r="G45">
        <v>0.45473375916481001</v>
      </c>
      <c r="H45">
        <v>1.43915915489196</v>
      </c>
      <c r="I45">
        <v>0.45657277107238697</v>
      </c>
      <c r="J45" t="str">
        <f t="shared" si="3"/>
        <v>I66R</v>
      </c>
      <c r="K45">
        <f t="shared" si="2"/>
        <v>-6.8752050399779829E-2</v>
      </c>
    </row>
    <row r="46" spans="1:11" x14ac:dyDescent="0.2">
      <c r="A46">
        <v>7949</v>
      </c>
      <c r="B46" t="s">
        <v>21</v>
      </c>
      <c r="D46">
        <v>1.63468778133392</v>
      </c>
      <c r="E46">
        <v>0.466150522232055</v>
      </c>
      <c r="F46">
        <v>1.7937608957290601</v>
      </c>
      <c r="G46">
        <v>0.48258221149444502</v>
      </c>
      <c r="H46">
        <v>1.47561466693878</v>
      </c>
      <c r="I46">
        <v>0.44971886277198703</v>
      </c>
      <c r="J46" t="str">
        <f t="shared" si="3"/>
        <v>S102N</v>
      </c>
      <c r="K46">
        <f t="shared" si="2"/>
        <v>-6.9770693778989923E-2</v>
      </c>
    </row>
    <row r="47" spans="1:11" x14ac:dyDescent="0.2">
      <c r="A47">
        <v>7951</v>
      </c>
      <c r="B47" t="s">
        <v>19</v>
      </c>
      <c r="D47">
        <v>1.6576796770095801</v>
      </c>
      <c r="E47">
        <v>0.42478412389755199</v>
      </c>
      <c r="F47">
        <v>1.8201204538345299</v>
      </c>
      <c r="G47">
        <v>0.42080661654472301</v>
      </c>
      <c r="H47">
        <v>1.49523890018463</v>
      </c>
      <c r="I47">
        <v>0.42876166105270302</v>
      </c>
      <c r="J47" t="str">
        <f t="shared" si="3"/>
        <v>H94Q</v>
      </c>
      <c r="K47">
        <f t="shared" si="2"/>
        <v>-9.2762589454649991E-2</v>
      </c>
    </row>
    <row r="48" spans="1:11" x14ac:dyDescent="0.2">
      <c r="A48">
        <v>7954</v>
      </c>
      <c r="B48" t="s">
        <v>16</v>
      </c>
      <c r="D48">
        <v>1.66259121894836</v>
      </c>
      <c r="E48">
        <v>0.477805435657501</v>
      </c>
      <c r="F48">
        <v>1.9039003849029501</v>
      </c>
      <c r="G48">
        <v>0.49399894475936801</v>
      </c>
      <c r="H48">
        <v>1.42128205299377</v>
      </c>
      <c r="I48">
        <v>0.46161195635795499</v>
      </c>
      <c r="J48" t="str">
        <f t="shared" si="3"/>
        <v>I66H</v>
      </c>
      <c r="K48">
        <f t="shared" si="2"/>
        <v>-9.7674131393429953E-2</v>
      </c>
    </row>
    <row r="49" spans="1:11" x14ac:dyDescent="0.2">
      <c r="A49">
        <v>8000</v>
      </c>
      <c r="B49" t="s">
        <v>57</v>
      </c>
      <c r="D49">
        <v>1.28108930587768</v>
      </c>
      <c r="E49">
        <v>0.53254044055938698</v>
      </c>
      <c r="F49">
        <v>1.3715459108352599</v>
      </c>
      <c r="G49">
        <v>0.52879500389099099</v>
      </c>
      <c r="H49">
        <v>1.1906327009201001</v>
      </c>
      <c r="I49">
        <v>1.4616119563579599</v>
      </c>
      <c r="J49" t="str">
        <f t="shared" si="3"/>
        <v>I52Q_R109V</v>
      </c>
      <c r="K49">
        <f t="shared" si="2"/>
        <v>0.28382778167725009</v>
      </c>
    </row>
    <row r="50" spans="1:11" x14ac:dyDescent="0.2">
      <c r="A50">
        <v>8007</v>
      </c>
      <c r="B50" t="s">
        <v>58</v>
      </c>
      <c r="D50">
        <v>1.31642961502075</v>
      </c>
      <c r="E50">
        <v>0.52021539211273105</v>
      </c>
      <c r="F50">
        <v>1.40086829662323</v>
      </c>
      <c r="G50">
        <v>0.51778882741928101</v>
      </c>
      <c r="H50">
        <v>1.2319910526275599</v>
      </c>
      <c r="I50">
        <v>2.4616119563579599</v>
      </c>
      <c r="J50" t="str">
        <f t="shared" si="3"/>
        <v>I52M_E62V</v>
      </c>
      <c r="K50">
        <f t="shared" si="2"/>
        <v>0.24848747253418013</v>
      </c>
    </row>
    <row r="51" spans="1:11" x14ac:dyDescent="0.2">
      <c r="A51">
        <v>7979</v>
      </c>
      <c r="B51" t="s">
        <v>59</v>
      </c>
      <c r="D51">
        <v>1.32274413108825</v>
      </c>
      <c r="E51">
        <v>0.50910496711730902</v>
      </c>
      <c r="F51">
        <v>1.4138864278793299</v>
      </c>
      <c r="G51">
        <v>0.52392143011093095</v>
      </c>
      <c r="H51">
        <v>1.23160195350646</v>
      </c>
      <c r="I51">
        <v>3.4616119563579599</v>
      </c>
      <c r="J51" t="str">
        <f t="shared" si="3"/>
        <v>I52M_S102Q</v>
      </c>
      <c r="K51">
        <f t="shared" si="2"/>
        <v>0.24217295646668013</v>
      </c>
    </row>
    <row r="52" spans="1:11" x14ac:dyDescent="0.2">
      <c r="A52">
        <v>7987</v>
      </c>
      <c r="B52" t="s">
        <v>60</v>
      </c>
      <c r="D52">
        <v>1.33804154396057</v>
      </c>
      <c r="E52">
        <v>0.51134866476058904</v>
      </c>
      <c r="F52">
        <v>1.4557136297225901</v>
      </c>
      <c r="G52">
        <v>0.50284618139266901</v>
      </c>
      <c r="H52">
        <v>1.22036957740783</v>
      </c>
      <c r="I52">
        <v>4.4616119563579604</v>
      </c>
      <c r="J52" t="str">
        <f t="shared" si="3"/>
        <v>I52M_K101Q</v>
      </c>
      <c r="K52">
        <f t="shared" si="2"/>
        <v>0.22687554359436013</v>
      </c>
    </row>
    <row r="53" spans="1:11" x14ac:dyDescent="0.2">
      <c r="A53">
        <v>7977</v>
      </c>
      <c r="B53" t="s">
        <v>61</v>
      </c>
      <c r="D53">
        <v>1.34615802764892</v>
      </c>
      <c r="E53">
        <v>0.50094646215438798</v>
      </c>
      <c r="F53">
        <v>1.3657919168472199</v>
      </c>
      <c r="G53">
        <v>0.513108789920806</v>
      </c>
      <c r="H53">
        <v>1.3265242576599099</v>
      </c>
      <c r="I53">
        <v>5.4616119563579604</v>
      </c>
      <c r="J53" t="str">
        <f t="shared" si="3"/>
        <v>M41L_I52M</v>
      </c>
      <c r="K53">
        <f t="shared" si="2"/>
        <v>0.21875905990601008</v>
      </c>
    </row>
    <row r="54" spans="1:11" x14ac:dyDescent="0.2">
      <c r="A54">
        <v>7978</v>
      </c>
      <c r="B54" t="s">
        <v>62</v>
      </c>
      <c r="D54">
        <v>1.34628558158874</v>
      </c>
      <c r="E54">
        <v>0.53267073631286599</v>
      </c>
      <c r="F54">
        <v>1.4230550527572601</v>
      </c>
      <c r="G54">
        <v>0.54867285490036</v>
      </c>
      <c r="H54">
        <v>1.26951599121093</v>
      </c>
      <c r="I54">
        <v>6.4616119563579604</v>
      </c>
      <c r="J54" t="str">
        <f t="shared" si="3"/>
        <v>M41N_I52M</v>
      </c>
      <c r="K54">
        <f t="shared" si="2"/>
        <v>0.21863150596619008</v>
      </c>
    </row>
    <row r="55" spans="1:11" x14ac:dyDescent="0.2">
      <c r="A55">
        <v>7988</v>
      </c>
      <c r="B55" t="s">
        <v>63</v>
      </c>
      <c r="D55">
        <v>1.3590116500854399</v>
      </c>
      <c r="E55">
        <v>0.54597580432891801</v>
      </c>
      <c r="F55">
        <v>1.4923342466354299</v>
      </c>
      <c r="G55">
        <v>0.57080674171447698</v>
      </c>
      <c r="H55">
        <v>1.2256889343261701</v>
      </c>
      <c r="I55">
        <v>7.4616119563579604</v>
      </c>
      <c r="J55" t="str">
        <f t="shared" si="3"/>
        <v>M41T_I52M</v>
      </c>
      <c r="K55">
        <f t="shared" si="2"/>
        <v>0.20590543746949019</v>
      </c>
    </row>
    <row r="56" spans="1:11" x14ac:dyDescent="0.2">
      <c r="A56">
        <v>7969</v>
      </c>
      <c r="B56" t="s">
        <v>64</v>
      </c>
      <c r="D56">
        <v>1.3694043159484801</v>
      </c>
      <c r="E56">
        <v>0.48953038454055697</v>
      </c>
      <c r="F56">
        <v>1.4226309061050399</v>
      </c>
      <c r="G56">
        <v>0.49525713920593201</v>
      </c>
      <c r="H56">
        <v>1.31617772579193</v>
      </c>
      <c r="I56">
        <v>8.4616119563579506</v>
      </c>
      <c r="J56" t="str">
        <f t="shared" si="3"/>
        <v>M41A_I52M</v>
      </c>
      <c r="K56">
        <f t="shared" si="2"/>
        <v>0.19551277160644998</v>
      </c>
    </row>
    <row r="57" spans="1:11" x14ac:dyDescent="0.2">
      <c r="A57">
        <v>8002</v>
      </c>
      <c r="B57" t="s">
        <v>65</v>
      </c>
      <c r="D57">
        <v>1.3737874031066799</v>
      </c>
      <c r="E57">
        <v>0.51310741901397705</v>
      </c>
      <c r="F57">
        <v>1.4519406557083101</v>
      </c>
      <c r="G57">
        <v>0.52509623765945401</v>
      </c>
      <c r="H57">
        <v>1.2956342697143499</v>
      </c>
      <c r="I57">
        <v>9.4616119563579506</v>
      </c>
      <c r="J57" t="str">
        <f t="shared" si="3"/>
        <v>I52M_S102D</v>
      </c>
      <c r="K57">
        <f t="shared" si="2"/>
        <v>0.19112968444825018</v>
      </c>
    </row>
    <row r="58" spans="1:11" x14ac:dyDescent="0.2">
      <c r="A58">
        <v>8001</v>
      </c>
      <c r="B58" t="s">
        <v>66</v>
      </c>
      <c r="D58">
        <v>1.37889611721038</v>
      </c>
      <c r="E58">
        <v>0.53717523813247603</v>
      </c>
      <c r="F58">
        <v>1.48037004470825</v>
      </c>
      <c r="G58">
        <v>0.55704665184020996</v>
      </c>
      <c r="H58">
        <v>1.27742218971252</v>
      </c>
      <c r="I58">
        <v>10.461611956358</v>
      </c>
      <c r="J58" t="str">
        <f t="shared" si="3"/>
        <v>M41T_V91S</v>
      </c>
      <c r="K58">
        <f t="shared" si="2"/>
        <v>0.18602097034455012</v>
      </c>
    </row>
    <row r="59" spans="1:11" x14ac:dyDescent="0.2">
      <c r="A59">
        <v>8003</v>
      </c>
      <c r="B59" t="s">
        <v>67</v>
      </c>
      <c r="D59">
        <v>1.3927617073059</v>
      </c>
      <c r="E59">
        <v>0.50777804851531905</v>
      </c>
      <c r="F59">
        <v>1.4843841791152901</v>
      </c>
      <c r="G59">
        <v>0.51790857315063399</v>
      </c>
      <c r="H59">
        <v>1.3011393547058101</v>
      </c>
      <c r="I59">
        <v>11.461611956358</v>
      </c>
      <c r="J59" t="str">
        <f t="shared" si="3"/>
        <v>I52M_E110L</v>
      </c>
      <c r="K59">
        <f t="shared" si="2"/>
        <v>0.1721553802490301</v>
      </c>
    </row>
    <row r="60" spans="1:11" x14ac:dyDescent="0.2">
      <c r="A60">
        <v>7974</v>
      </c>
      <c r="B60" t="s">
        <v>68</v>
      </c>
      <c r="D60">
        <v>1.3964055776596001</v>
      </c>
      <c r="E60">
        <v>0.52060019969940097</v>
      </c>
      <c r="F60">
        <v>1.5572602748870801</v>
      </c>
      <c r="G60">
        <v>0.53761446475982599</v>
      </c>
      <c r="H60">
        <v>1.23555088043212</v>
      </c>
      <c r="I60">
        <v>12.461611956358</v>
      </c>
      <c r="J60" t="str">
        <f t="shared" si="3"/>
        <v>I52M_K80H</v>
      </c>
      <c r="K60">
        <f t="shared" si="2"/>
        <v>0.16851150989533004</v>
      </c>
    </row>
    <row r="61" spans="1:11" x14ac:dyDescent="0.2">
      <c r="A61">
        <v>7970</v>
      </c>
      <c r="B61" t="s">
        <v>69</v>
      </c>
      <c r="D61">
        <v>1.3986680507659901</v>
      </c>
      <c r="E61">
        <v>0.49481940269470198</v>
      </c>
      <c r="F61">
        <v>1.48264920711517</v>
      </c>
      <c r="G61">
        <v>0.50616049766540505</v>
      </c>
      <c r="H61">
        <v>1.31468701362609</v>
      </c>
      <c r="I61">
        <v>13.461611956358</v>
      </c>
      <c r="J61" t="str">
        <f t="shared" si="3"/>
        <v>I52M_E110M</v>
      </c>
      <c r="K61">
        <f t="shared" si="2"/>
        <v>0.16624903678893999</v>
      </c>
    </row>
    <row r="62" spans="1:11" x14ac:dyDescent="0.2">
      <c r="A62">
        <v>7995</v>
      </c>
      <c r="B62" t="s">
        <v>70</v>
      </c>
      <c r="D62">
        <v>1.40198874473571</v>
      </c>
      <c r="E62">
        <v>0.53409302234649603</v>
      </c>
      <c r="F62">
        <v>1.47899854183197</v>
      </c>
      <c r="G62">
        <v>0.54429793357849099</v>
      </c>
      <c r="H62">
        <v>1.32497906684875</v>
      </c>
      <c r="I62">
        <v>14.461611956358</v>
      </c>
      <c r="J62" t="str">
        <f t="shared" si="3"/>
        <v>M41N_S102D</v>
      </c>
      <c r="K62">
        <f t="shared" si="2"/>
        <v>0.16292834281922008</v>
      </c>
    </row>
    <row r="63" spans="1:11" x14ac:dyDescent="0.2">
      <c r="A63">
        <v>7971</v>
      </c>
      <c r="B63" t="s">
        <v>71</v>
      </c>
      <c r="D63">
        <v>1.40415811538696</v>
      </c>
      <c r="E63">
        <v>0.532545685768127</v>
      </c>
      <c r="F63">
        <v>1.55847203731536</v>
      </c>
      <c r="G63">
        <v>0.54136317968368497</v>
      </c>
      <c r="H63">
        <v>1.24984431266784</v>
      </c>
      <c r="I63">
        <v>15.461611956358</v>
      </c>
      <c r="J63" t="str">
        <f t="shared" si="3"/>
        <v>M41S_I52M</v>
      </c>
      <c r="K63">
        <f t="shared" si="2"/>
        <v>0.16075897216797008</v>
      </c>
    </row>
    <row r="64" spans="1:11" x14ac:dyDescent="0.2">
      <c r="A64">
        <v>7967</v>
      </c>
      <c r="B64" t="s">
        <v>72</v>
      </c>
      <c r="D64">
        <v>1.40443444252014</v>
      </c>
      <c r="E64">
        <v>0.51471924781799305</v>
      </c>
      <c r="F64">
        <v>1.4970389604568399</v>
      </c>
      <c r="G64">
        <v>0.52851235866546598</v>
      </c>
      <c r="H64">
        <v>1.3118300437927199</v>
      </c>
      <c r="I64">
        <v>16.461611956357999</v>
      </c>
      <c r="J64" t="str">
        <f t="shared" si="3"/>
        <v>I52L_V91S</v>
      </c>
      <c r="K64">
        <f t="shared" si="2"/>
        <v>0.16048264503479004</v>
      </c>
    </row>
    <row r="65" spans="1:11" x14ac:dyDescent="0.2">
      <c r="A65">
        <v>7998</v>
      </c>
      <c r="B65" t="s">
        <v>73</v>
      </c>
      <c r="D65">
        <v>1.4047117233276301</v>
      </c>
      <c r="E65">
        <v>0.48930758237838701</v>
      </c>
      <c r="F65">
        <v>1.5541905164718599</v>
      </c>
      <c r="G65">
        <v>0.48275402188300998</v>
      </c>
      <c r="H65">
        <v>1.2552330493927</v>
      </c>
      <c r="I65">
        <v>17.461611956357999</v>
      </c>
      <c r="J65" t="str">
        <f t="shared" si="3"/>
        <v>I52M_T84L</v>
      </c>
      <c r="K65">
        <f t="shared" si="2"/>
        <v>0.16020536422730003</v>
      </c>
    </row>
    <row r="66" spans="1:11" x14ac:dyDescent="0.2">
      <c r="A66">
        <v>7983</v>
      </c>
      <c r="B66" t="s">
        <v>74</v>
      </c>
      <c r="D66">
        <v>1.4057439565658501</v>
      </c>
      <c r="E66">
        <v>0.53992438316345204</v>
      </c>
      <c r="F66">
        <v>1.51063084602355</v>
      </c>
      <c r="G66">
        <v>0.55657285451889005</v>
      </c>
      <c r="H66">
        <v>1.3008570671081501</v>
      </c>
      <c r="I66">
        <v>18.461611956357999</v>
      </c>
      <c r="J66" t="str">
        <f t="shared" ref="J66:J97" si="4">_xlfn.TEXTBEFORE(_xlfn.TEXTAFTER(B66,"-")," ")</f>
        <v>M41Q_V91S</v>
      </c>
      <c r="K66">
        <f t="shared" si="2"/>
        <v>0.15917313098908004</v>
      </c>
    </row>
    <row r="67" spans="1:11" x14ac:dyDescent="0.2">
      <c r="A67">
        <v>7986</v>
      </c>
      <c r="B67" t="s">
        <v>75</v>
      </c>
      <c r="D67">
        <v>1.40707600116729</v>
      </c>
      <c r="E67">
        <v>0.498633623123168</v>
      </c>
      <c r="F67">
        <v>1.49330759048461</v>
      </c>
      <c r="G67">
        <v>0.49944260716438199</v>
      </c>
      <c r="H67">
        <v>1.32084441184997</v>
      </c>
      <c r="I67">
        <v>19.461611956357999</v>
      </c>
      <c r="J67" t="str">
        <f t="shared" si="4"/>
        <v>I52L_E62V</v>
      </c>
      <c r="K67">
        <f t="shared" ref="K67:K130" si="5">$D$2-D67</f>
        <v>0.15784108638764005</v>
      </c>
    </row>
    <row r="68" spans="1:11" x14ac:dyDescent="0.2">
      <c r="A68">
        <v>8005</v>
      </c>
      <c r="B68" t="s">
        <v>76</v>
      </c>
      <c r="D68">
        <v>1.40728092193603</v>
      </c>
      <c r="E68">
        <v>0.49185764789581299</v>
      </c>
      <c r="F68">
        <v>1.49677562713623</v>
      </c>
      <c r="G68">
        <v>0.50122708082199097</v>
      </c>
      <c r="H68">
        <v>1.3177862167358301</v>
      </c>
      <c r="I68">
        <v>20.461611956357999</v>
      </c>
      <c r="J68" t="str">
        <f t="shared" si="4"/>
        <v>I52L_S102D</v>
      </c>
      <c r="K68">
        <f t="shared" si="5"/>
        <v>0.15763616561890004</v>
      </c>
    </row>
    <row r="69" spans="1:11" x14ac:dyDescent="0.2">
      <c r="A69">
        <v>7972</v>
      </c>
      <c r="B69" t="s">
        <v>77</v>
      </c>
      <c r="D69">
        <v>1.4098744392395</v>
      </c>
      <c r="E69">
        <v>0.49104195833206099</v>
      </c>
      <c r="F69">
        <v>1.4531000852584799</v>
      </c>
      <c r="G69">
        <v>0.50402617454528797</v>
      </c>
      <c r="H69">
        <v>1.36664867401123</v>
      </c>
      <c r="I69">
        <v>21.461611956357999</v>
      </c>
      <c r="J69" t="str">
        <f t="shared" si="4"/>
        <v>I52F_S102D</v>
      </c>
      <c r="K69">
        <f t="shared" si="5"/>
        <v>0.15504264831543013</v>
      </c>
    </row>
    <row r="70" spans="1:11" x14ac:dyDescent="0.2">
      <c r="A70">
        <v>7997</v>
      </c>
      <c r="B70" t="s">
        <v>78</v>
      </c>
      <c r="D70">
        <v>1.4147765636444001</v>
      </c>
      <c r="E70">
        <v>0.51432240009307795</v>
      </c>
      <c r="F70">
        <v>1.56707155704498</v>
      </c>
      <c r="G70">
        <v>0.51365894079208296</v>
      </c>
      <c r="H70">
        <v>1.2624816894531199</v>
      </c>
      <c r="I70">
        <v>22.461611956357999</v>
      </c>
      <c r="J70" t="str">
        <f t="shared" si="4"/>
        <v>I50V_I52M</v>
      </c>
      <c r="K70">
        <f t="shared" si="5"/>
        <v>0.15014052391053001</v>
      </c>
    </row>
    <row r="71" spans="1:11" x14ac:dyDescent="0.2">
      <c r="A71">
        <v>7966</v>
      </c>
      <c r="B71" t="s">
        <v>79</v>
      </c>
      <c r="D71">
        <v>1.41661596298217</v>
      </c>
      <c r="E71">
        <v>0.50195527076721103</v>
      </c>
      <c r="F71">
        <v>1.5326734781265201</v>
      </c>
      <c r="G71">
        <v>0.50835239887237504</v>
      </c>
      <c r="H71">
        <v>1.30055856704711</v>
      </c>
      <c r="I71">
        <v>23.461611956357999</v>
      </c>
      <c r="J71" t="str">
        <f t="shared" si="4"/>
        <v>I52M_T84V</v>
      </c>
      <c r="K71">
        <f t="shared" si="5"/>
        <v>0.14830112457276012</v>
      </c>
    </row>
    <row r="72" spans="1:11" x14ac:dyDescent="0.2">
      <c r="A72">
        <v>7973</v>
      </c>
      <c r="B72" t="s">
        <v>80</v>
      </c>
      <c r="D72">
        <v>1.41788482666015</v>
      </c>
      <c r="E72">
        <v>0.53348177671432495</v>
      </c>
      <c r="F72">
        <v>1.58449494838714</v>
      </c>
      <c r="G72">
        <v>0.53630000352859497</v>
      </c>
      <c r="H72">
        <v>1.2512748241424501</v>
      </c>
      <c r="I72">
        <v>24.461611956357999</v>
      </c>
      <c r="J72" t="str">
        <f t="shared" si="4"/>
        <v>M41Q_I52M</v>
      </c>
      <c r="K72">
        <f t="shared" si="5"/>
        <v>0.14703226089478005</v>
      </c>
    </row>
    <row r="73" spans="1:11" x14ac:dyDescent="0.2">
      <c r="A73">
        <v>8006</v>
      </c>
      <c r="B73" t="s">
        <v>81</v>
      </c>
      <c r="D73">
        <v>1.4233027696609399</v>
      </c>
      <c r="E73">
        <v>0.51519584655761697</v>
      </c>
      <c r="F73">
        <v>1.5896248817443801</v>
      </c>
      <c r="G73">
        <v>0.50869935750961304</v>
      </c>
      <c r="H73">
        <v>1.25698065757751</v>
      </c>
      <c r="I73">
        <v>25.461611956357999</v>
      </c>
      <c r="J73" t="str">
        <f t="shared" si="4"/>
        <v>I52M_V91S</v>
      </c>
      <c r="K73">
        <f t="shared" si="5"/>
        <v>0.14161431789399015</v>
      </c>
    </row>
    <row r="74" spans="1:11" x14ac:dyDescent="0.2">
      <c r="A74">
        <v>8009</v>
      </c>
      <c r="B74" t="s">
        <v>82</v>
      </c>
      <c r="D74">
        <v>1.44375824928283</v>
      </c>
      <c r="E74">
        <v>0.500554919242858</v>
      </c>
      <c r="F74">
        <v>1.51351618766784</v>
      </c>
      <c r="G74">
        <v>0.500405132770538</v>
      </c>
      <c r="H74">
        <v>1.37400043010711</v>
      </c>
      <c r="I74">
        <v>26.461611956357999</v>
      </c>
      <c r="J74" t="str">
        <f t="shared" si="4"/>
        <v>I52L_Q69K</v>
      </c>
      <c r="K74">
        <f t="shared" si="5"/>
        <v>0.12115883827210006</v>
      </c>
    </row>
    <row r="75" spans="1:11" x14ac:dyDescent="0.2">
      <c r="A75">
        <v>7982</v>
      </c>
      <c r="B75" t="s">
        <v>83</v>
      </c>
      <c r="D75">
        <v>1.4441449642181301</v>
      </c>
      <c r="E75">
        <v>0.500704765319824</v>
      </c>
      <c r="F75">
        <v>1.5661820173263501</v>
      </c>
      <c r="G75">
        <v>0.50299406051635698</v>
      </c>
      <c r="H75">
        <v>1.3221077919006301</v>
      </c>
      <c r="I75">
        <v>27.461611956357999</v>
      </c>
      <c r="J75" t="str">
        <f t="shared" si="4"/>
        <v>V45Q_I52M</v>
      </c>
      <c r="K75">
        <f t="shared" si="5"/>
        <v>0.12077212333679999</v>
      </c>
    </row>
    <row r="76" spans="1:11" x14ac:dyDescent="0.2">
      <c r="A76">
        <v>8008</v>
      </c>
      <c r="B76" t="s">
        <v>84</v>
      </c>
      <c r="D76">
        <v>1.4558093547821001</v>
      </c>
      <c r="E76">
        <v>0.497417211532592</v>
      </c>
      <c r="F76">
        <v>1.51853835582733</v>
      </c>
      <c r="G76">
        <v>0.52067404985427801</v>
      </c>
      <c r="H76">
        <v>1.3930804729461601</v>
      </c>
      <c r="I76">
        <v>28.461611956357999</v>
      </c>
      <c r="J76" t="str">
        <f t="shared" si="4"/>
        <v>M41L_T84L</v>
      </c>
      <c r="K76">
        <f t="shared" si="5"/>
        <v>0.10910773277283004</v>
      </c>
    </row>
    <row r="77" spans="1:11" x14ac:dyDescent="0.2">
      <c r="A77">
        <v>8010</v>
      </c>
      <c r="B77" t="s">
        <v>85</v>
      </c>
      <c r="D77">
        <v>1.46308541297912</v>
      </c>
      <c r="E77">
        <v>0.49994283914566001</v>
      </c>
      <c r="F77">
        <v>1.52999722957611</v>
      </c>
      <c r="G77">
        <v>0.51374775171279896</v>
      </c>
      <c r="H77">
        <v>1.39617371559143</v>
      </c>
      <c r="I77">
        <v>29.461611956357999</v>
      </c>
      <c r="J77" t="str">
        <f t="shared" si="4"/>
        <v>M41L_E62L</v>
      </c>
      <c r="K77">
        <f t="shared" si="5"/>
        <v>0.1018316745758101</v>
      </c>
    </row>
    <row r="78" spans="1:11" x14ac:dyDescent="0.2">
      <c r="A78">
        <v>7992</v>
      </c>
      <c r="B78" t="s">
        <v>86</v>
      </c>
      <c r="D78">
        <v>1.4714486598968499</v>
      </c>
      <c r="E78">
        <v>0.48507484793663003</v>
      </c>
      <c r="F78">
        <v>1.60345470905303</v>
      </c>
      <c r="G78">
        <v>0.50073593854904097</v>
      </c>
      <c r="H78">
        <v>1.3394424915313701</v>
      </c>
      <c r="I78">
        <v>30.461611956357999</v>
      </c>
      <c r="J78" t="str">
        <f t="shared" si="4"/>
        <v>I52M_D112G</v>
      </c>
      <c r="K78">
        <f t="shared" si="5"/>
        <v>9.3468427658080167E-2</v>
      </c>
    </row>
    <row r="79" spans="1:11" x14ac:dyDescent="0.2">
      <c r="A79">
        <v>7985</v>
      </c>
      <c r="B79" t="s">
        <v>87</v>
      </c>
      <c r="D79">
        <v>1.4716167449951101</v>
      </c>
      <c r="E79">
        <v>0.50304758548736495</v>
      </c>
      <c r="F79">
        <v>1.5809900760650599</v>
      </c>
      <c r="G79">
        <v>0.50929051637649503</v>
      </c>
      <c r="H79">
        <v>1.36224353313446</v>
      </c>
      <c r="I79">
        <v>31.461611956357999</v>
      </c>
      <c r="J79" t="str">
        <f t="shared" si="4"/>
        <v>M41L_K97S</v>
      </c>
      <c r="K79">
        <f t="shared" si="5"/>
        <v>9.3300342559820004E-2</v>
      </c>
    </row>
    <row r="80" spans="1:11" x14ac:dyDescent="0.2">
      <c r="A80">
        <v>7976</v>
      </c>
      <c r="B80" t="s">
        <v>88</v>
      </c>
      <c r="D80">
        <v>1.47380423545837</v>
      </c>
      <c r="E80">
        <v>0.48116719722747803</v>
      </c>
      <c r="F80">
        <v>1.5919282436370801</v>
      </c>
      <c r="G80">
        <v>0.49632099270820601</v>
      </c>
      <c r="H80">
        <v>1.35568022727966</v>
      </c>
      <c r="I80">
        <v>32.461611956357999</v>
      </c>
      <c r="J80" t="str">
        <f t="shared" si="4"/>
        <v>V45R_R109V</v>
      </c>
      <c r="K80">
        <f t="shared" si="5"/>
        <v>9.111285209656006E-2</v>
      </c>
    </row>
    <row r="81" spans="1:11" x14ac:dyDescent="0.2">
      <c r="A81">
        <v>7968</v>
      </c>
      <c r="B81" t="s">
        <v>89</v>
      </c>
      <c r="D81">
        <v>1.49063372611999</v>
      </c>
      <c r="E81">
        <v>0.49317285418510398</v>
      </c>
      <c r="F81">
        <v>1.59897172451019</v>
      </c>
      <c r="G81">
        <v>0.50565630197525002</v>
      </c>
      <c r="H81">
        <v>1.38229584693908</v>
      </c>
      <c r="I81">
        <v>33.461611956357999</v>
      </c>
      <c r="J81" t="str">
        <f t="shared" si="4"/>
        <v>V45Q_I52L</v>
      </c>
      <c r="K81">
        <f t="shared" si="5"/>
        <v>7.4283361434940076E-2</v>
      </c>
    </row>
    <row r="82" spans="1:11" x14ac:dyDescent="0.2">
      <c r="A82">
        <v>7963</v>
      </c>
      <c r="B82" t="s">
        <v>90</v>
      </c>
      <c r="D82">
        <v>1.49076175689697</v>
      </c>
      <c r="E82">
        <v>0.498580992221832</v>
      </c>
      <c r="F82">
        <v>1.7053962945938099</v>
      </c>
      <c r="G82">
        <v>0.50465762615203802</v>
      </c>
      <c r="H82">
        <v>1.2761272192001301</v>
      </c>
      <c r="I82">
        <v>34.461611956357999</v>
      </c>
      <c r="J82" t="str">
        <f t="shared" si="4"/>
        <v>V33M_I52L</v>
      </c>
      <c r="K82">
        <f t="shared" si="5"/>
        <v>7.4155330657960095E-2</v>
      </c>
    </row>
    <row r="83" spans="1:11" x14ac:dyDescent="0.2">
      <c r="A83">
        <v>7990</v>
      </c>
      <c r="B83" t="s">
        <v>91</v>
      </c>
      <c r="D83">
        <v>1.4929904937744101</v>
      </c>
      <c r="E83">
        <v>0.48745805025100702</v>
      </c>
      <c r="F83">
        <v>1.5885161161422701</v>
      </c>
      <c r="G83">
        <v>0.50199723243713301</v>
      </c>
      <c r="H83">
        <v>1.3974649906158401</v>
      </c>
      <c r="I83">
        <v>35.461611956357999</v>
      </c>
      <c r="J83" t="str">
        <f t="shared" si="4"/>
        <v>T84L_V91S</v>
      </c>
      <c r="K83">
        <f t="shared" si="5"/>
        <v>7.1926593780520021E-2</v>
      </c>
    </row>
    <row r="84" spans="1:11" x14ac:dyDescent="0.2">
      <c r="A84">
        <v>8004</v>
      </c>
      <c r="B84" t="s">
        <v>92</v>
      </c>
      <c r="D84">
        <v>1.4967987537384</v>
      </c>
      <c r="E84">
        <v>0.42217558622360202</v>
      </c>
      <c r="F84">
        <v>1.6017137765884399</v>
      </c>
      <c r="G84">
        <v>0.44440338015556302</v>
      </c>
      <c r="H84">
        <v>1.39188373088836</v>
      </c>
      <c r="I84">
        <v>36.461611956357999</v>
      </c>
      <c r="J84" t="str">
        <f t="shared" si="4"/>
        <v>M41E_I52M</v>
      </c>
      <c r="K84">
        <f t="shared" si="5"/>
        <v>6.8118333816530097E-2</v>
      </c>
    </row>
    <row r="85" spans="1:11" x14ac:dyDescent="0.2">
      <c r="A85">
        <v>8012</v>
      </c>
      <c r="B85" t="s">
        <v>93</v>
      </c>
      <c r="D85">
        <v>1.49849569797515</v>
      </c>
      <c r="E85">
        <v>0.488736152648925</v>
      </c>
      <c r="F85">
        <v>1.5669949054718</v>
      </c>
      <c r="G85">
        <v>0.50309568643569902</v>
      </c>
      <c r="H85">
        <v>1.4299964904785101</v>
      </c>
      <c r="I85">
        <v>37.461611956357999</v>
      </c>
      <c r="J85" t="str">
        <f t="shared" si="4"/>
        <v>I66T_S102D</v>
      </c>
      <c r="K85">
        <f t="shared" si="5"/>
        <v>6.6421389579780055E-2</v>
      </c>
    </row>
    <row r="86" spans="1:11" x14ac:dyDescent="0.2">
      <c r="A86">
        <v>7994</v>
      </c>
      <c r="B86" t="s">
        <v>94</v>
      </c>
      <c r="D86">
        <v>1.5011470317840501</v>
      </c>
      <c r="E86">
        <v>0.50453364849090498</v>
      </c>
      <c r="F86">
        <v>1.67658507823944</v>
      </c>
      <c r="G86">
        <v>0.503908991813659</v>
      </c>
      <c r="H86">
        <v>1.3257088661193801</v>
      </c>
      <c r="I86">
        <v>38.461611956357999</v>
      </c>
      <c r="J86" t="str">
        <f t="shared" si="4"/>
        <v>I52M_I66K</v>
      </c>
      <c r="K86">
        <f t="shared" si="5"/>
        <v>6.3770055770880019E-2</v>
      </c>
    </row>
    <row r="87" spans="1:11" x14ac:dyDescent="0.2">
      <c r="A87">
        <v>8011</v>
      </c>
      <c r="B87" t="s">
        <v>95</v>
      </c>
      <c r="D87">
        <v>1.50443935394287</v>
      </c>
      <c r="E87">
        <v>0.49385157227516102</v>
      </c>
      <c r="F87">
        <v>1.66415035724639</v>
      </c>
      <c r="G87">
        <v>0.50841635465621904</v>
      </c>
      <c r="H87">
        <v>1.3447282314300499</v>
      </c>
      <c r="I87">
        <v>39.461611956357999</v>
      </c>
      <c r="J87" t="str">
        <f t="shared" si="4"/>
        <v>R109V_E117K</v>
      </c>
      <c r="K87">
        <f t="shared" si="5"/>
        <v>6.0477733612060103E-2</v>
      </c>
    </row>
    <row r="88" spans="1:11" x14ac:dyDescent="0.2">
      <c r="A88">
        <v>7981</v>
      </c>
      <c r="B88" t="s">
        <v>96</v>
      </c>
      <c r="D88">
        <v>1.5066285133361801</v>
      </c>
      <c r="E88">
        <v>0.49831545352935702</v>
      </c>
      <c r="F88">
        <v>1.6218553781509399</v>
      </c>
      <c r="G88">
        <v>0.49453398585319502</v>
      </c>
      <c r="H88">
        <v>1.39140176773071</v>
      </c>
      <c r="I88">
        <v>40.461611956357999</v>
      </c>
      <c r="J88" t="str">
        <f t="shared" si="4"/>
        <v>M41L_V91S</v>
      </c>
      <c r="K88">
        <f t="shared" si="5"/>
        <v>5.828857421875E-2</v>
      </c>
    </row>
    <row r="89" spans="1:11" x14ac:dyDescent="0.2">
      <c r="A89">
        <v>7980</v>
      </c>
      <c r="B89" t="s">
        <v>97</v>
      </c>
      <c r="D89">
        <v>1.5074759721755899</v>
      </c>
      <c r="E89">
        <v>0.48644077777862499</v>
      </c>
      <c r="F89">
        <v>1.67840051651</v>
      </c>
      <c r="G89">
        <v>0.48338660597801197</v>
      </c>
      <c r="H89">
        <v>1.3365514278411801</v>
      </c>
      <c r="I89">
        <v>41.461611956357999</v>
      </c>
      <c r="J89" t="str">
        <f t="shared" si="4"/>
        <v>I52L_I63L</v>
      </c>
      <c r="K89">
        <f t="shared" si="5"/>
        <v>5.7441115379340157E-2</v>
      </c>
    </row>
    <row r="90" spans="1:11" x14ac:dyDescent="0.2">
      <c r="A90">
        <v>7989</v>
      </c>
      <c r="B90" t="s">
        <v>98</v>
      </c>
      <c r="D90">
        <v>1.50943374633789</v>
      </c>
      <c r="E90">
        <v>0.48707967996597201</v>
      </c>
      <c r="F90">
        <v>1.6902598142623899</v>
      </c>
      <c r="G90">
        <v>0.49423611164093001</v>
      </c>
      <c r="H90">
        <v>1.3286075592041</v>
      </c>
      <c r="I90">
        <v>42.461611956357999</v>
      </c>
      <c r="J90" t="str">
        <f t="shared" si="4"/>
        <v>I52M_S102V</v>
      </c>
      <c r="K90">
        <f t="shared" si="5"/>
        <v>5.5483341217040127E-2</v>
      </c>
    </row>
    <row r="91" spans="1:11" x14ac:dyDescent="0.2">
      <c r="A91">
        <v>7984</v>
      </c>
      <c r="B91" t="s">
        <v>99</v>
      </c>
      <c r="D91">
        <v>1.51852631568908</v>
      </c>
      <c r="E91">
        <v>0.47797083854675199</v>
      </c>
      <c r="F91">
        <v>1.6923956871032699</v>
      </c>
      <c r="G91">
        <v>0.48794597387313798</v>
      </c>
      <c r="H91">
        <v>1.3446569442748999</v>
      </c>
      <c r="I91">
        <v>43.461611956357999</v>
      </c>
      <c r="J91" t="str">
        <f t="shared" si="4"/>
        <v>I52L_S102L</v>
      </c>
      <c r="K91">
        <f t="shared" si="5"/>
        <v>4.6390771865850056E-2</v>
      </c>
    </row>
    <row r="92" spans="1:11" x14ac:dyDescent="0.2">
      <c r="A92">
        <v>7964</v>
      </c>
      <c r="B92" t="s">
        <v>100</v>
      </c>
      <c r="D92">
        <v>1.5219686031341499</v>
      </c>
      <c r="E92">
        <v>0.47735536098480202</v>
      </c>
      <c r="F92">
        <v>1.63093626499176</v>
      </c>
      <c r="G92">
        <v>0.48051956295967102</v>
      </c>
      <c r="H92">
        <v>1.4130008220672601</v>
      </c>
      <c r="I92">
        <v>44.461611956357999</v>
      </c>
      <c r="J92" t="str">
        <f t="shared" si="4"/>
        <v>M41L_I52V</v>
      </c>
      <c r="K92">
        <f t="shared" si="5"/>
        <v>4.2948484420780142E-2</v>
      </c>
    </row>
    <row r="93" spans="1:11" x14ac:dyDescent="0.2">
      <c r="A93">
        <v>7975</v>
      </c>
      <c r="B93" t="s">
        <v>101</v>
      </c>
      <c r="D93">
        <v>1.53184330463409</v>
      </c>
      <c r="E93">
        <v>0.47048568725585899</v>
      </c>
      <c r="F93">
        <v>1.7176047563552801</v>
      </c>
      <c r="G93">
        <v>0.47315615415573098</v>
      </c>
      <c r="H93">
        <v>1.3460818529128999</v>
      </c>
      <c r="I93">
        <v>45.461611956357999</v>
      </c>
      <c r="J93" t="str">
        <f t="shared" si="4"/>
        <v>I52L_S102V</v>
      </c>
      <c r="K93">
        <f t="shared" si="5"/>
        <v>3.3073782920840067E-2</v>
      </c>
    </row>
    <row r="94" spans="1:11" x14ac:dyDescent="0.2">
      <c r="A94">
        <v>7999</v>
      </c>
      <c r="B94" t="s">
        <v>102</v>
      </c>
      <c r="D94">
        <v>1.5493425130844101</v>
      </c>
      <c r="E94">
        <v>0.47078680992126398</v>
      </c>
      <c r="F94">
        <v>1.69317531585693</v>
      </c>
      <c r="G94">
        <v>0.49066665768623302</v>
      </c>
      <c r="H94">
        <v>1.4055097103118801</v>
      </c>
      <c r="I94">
        <v>46.461611956357999</v>
      </c>
      <c r="J94" t="str">
        <f t="shared" si="4"/>
        <v>V91S_S102V</v>
      </c>
      <c r="K94">
        <f t="shared" si="5"/>
        <v>1.557457447052002E-2</v>
      </c>
    </row>
    <row r="95" spans="1:11" x14ac:dyDescent="0.2">
      <c r="A95">
        <v>7993</v>
      </c>
      <c r="B95" t="s">
        <v>103</v>
      </c>
      <c r="D95">
        <v>1.55122971534729</v>
      </c>
      <c r="E95">
        <v>0.42343932390213002</v>
      </c>
      <c r="F95">
        <v>1.6334909200668299</v>
      </c>
      <c r="G95">
        <v>0.47541713714599598</v>
      </c>
      <c r="H95">
        <v>1.4689686298370299</v>
      </c>
      <c r="I95">
        <v>47.461611956357999</v>
      </c>
      <c r="J95" t="str">
        <f t="shared" si="4"/>
        <v>M41D_R109V</v>
      </c>
      <c r="K95">
        <f t="shared" si="5"/>
        <v>1.3687372207640047E-2</v>
      </c>
    </row>
    <row r="96" spans="1:11" x14ac:dyDescent="0.2">
      <c r="A96">
        <v>7991</v>
      </c>
      <c r="B96" t="s">
        <v>104</v>
      </c>
      <c r="D96">
        <v>1.6476182937621999</v>
      </c>
      <c r="E96">
        <v>0.436008691787719</v>
      </c>
      <c r="F96">
        <v>1.85232770442962</v>
      </c>
      <c r="G96">
        <v>0.49391680955886802</v>
      </c>
      <c r="H96">
        <v>1.4429087638854901</v>
      </c>
      <c r="I96">
        <v>48.461611956357999</v>
      </c>
      <c r="J96" t="str">
        <f t="shared" si="4"/>
        <v>M41E_R109V</v>
      </c>
      <c r="K96">
        <f t="shared" si="5"/>
        <v>-8.270120620726984E-2</v>
      </c>
    </row>
    <row r="97" spans="1:11" x14ac:dyDescent="0.2">
      <c r="A97">
        <v>7965</v>
      </c>
      <c r="B97" t="s">
        <v>105</v>
      </c>
      <c r="D97">
        <v>1.6664195060729901</v>
      </c>
      <c r="E97">
        <v>0.40589272975921598</v>
      </c>
      <c r="F97">
        <v>1.8629740476608201</v>
      </c>
      <c r="G97">
        <v>0.428534895181655</v>
      </c>
      <c r="H97">
        <v>1.46986484527587</v>
      </c>
      <c r="I97">
        <v>49.461611956357999</v>
      </c>
      <c r="J97" t="str">
        <f t="shared" si="4"/>
        <v>M41E_V91S</v>
      </c>
      <c r="K97">
        <f t="shared" si="5"/>
        <v>-0.10150241851805997</v>
      </c>
    </row>
    <row r="98" spans="1:11" x14ac:dyDescent="0.2">
      <c r="A98">
        <v>7996</v>
      </c>
      <c r="B98" t="s">
        <v>106</v>
      </c>
      <c r="D98">
        <v>1.6996828317642201</v>
      </c>
      <c r="E98">
        <v>0.39190506935119601</v>
      </c>
      <c r="F98">
        <v>1.88175380229949</v>
      </c>
      <c r="G98">
        <v>0.41923251748085</v>
      </c>
      <c r="H98">
        <v>1.51761186122894</v>
      </c>
      <c r="I98">
        <v>50.461611956357999</v>
      </c>
      <c r="J98" t="str">
        <f t="shared" ref="J98:J129" si="6">_xlfn.TEXTBEFORE(_xlfn.TEXTAFTER(B98,"-")," ")</f>
        <v>M41E_S102D</v>
      </c>
      <c r="K98">
        <f t="shared" si="5"/>
        <v>-0.13476574420928999</v>
      </c>
    </row>
    <row r="99" spans="1:11" x14ac:dyDescent="0.2">
      <c r="A99">
        <v>8030</v>
      </c>
      <c r="B99" t="s">
        <v>107</v>
      </c>
      <c r="D99">
        <v>1.2771470546722401</v>
      </c>
      <c r="E99">
        <v>0.55298018455505304</v>
      </c>
      <c r="F99">
        <v>1.39286053180694</v>
      </c>
      <c r="G99">
        <v>0.55629175901412897</v>
      </c>
      <c r="H99">
        <v>1.16143357753753</v>
      </c>
      <c r="I99">
        <v>0.54966861009597701</v>
      </c>
      <c r="J99" t="str">
        <f t="shared" si="6"/>
        <v>I52Q_R109V_G122E</v>
      </c>
      <c r="K99">
        <f t="shared" si="5"/>
        <v>0.28777003288268999</v>
      </c>
    </row>
    <row r="100" spans="1:11" x14ac:dyDescent="0.2">
      <c r="A100">
        <v>8024</v>
      </c>
      <c r="B100" t="s">
        <v>108</v>
      </c>
      <c r="D100">
        <v>1.28458452224731</v>
      </c>
      <c r="E100">
        <v>0.54580950736999501</v>
      </c>
      <c r="F100">
        <v>1.3938680887222199</v>
      </c>
      <c r="G100">
        <v>0.55016201734542802</v>
      </c>
      <c r="H100">
        <v>1.1753008365631099</v>
      </c>
      <c r="I100">
        <v>0.54145705699920599</v>
      </c>
      <c r="J100" t="str">
        <f t="shared" si="6"/>
        <v>I52Q_R109V_K121N</v>
      </c>
      <c r="K100">
        <f t="shared" si="5"/>
        <v>0.28033256530762007</v>
      </c>
    </row>
    <row r="101" spans="1:11" x14ac:dyDescent="0.2">
      <c r="A101">
        <v>8038</v>
      </c>
      <c r="B101" t="s">
        <v>109</v>
      </c>
      <c r="D101">
        <v>1.28773713111877</v>
      </c>
      <c r="E101">
        <v>0.55415010452270497</v>
      </c>
      <c r="F101">
        <v>1.4046553373336701</v>
      </c>
      <c r="G101">
        <v>0.54529392719268799</v>
      </c>
      <c r="H101">
        <v>1.1708188056945801</v>
      </c>
      <c r="I101">
        <v>0.56300634145736606</v>
      </c>
      <c r="J101" t="str">
        <f t="shared" si="6"/>
        <v>I52Q_V91A_R109V</v>
      </c>
      <c r="K101">
        <f t="shared" si="5"/>
        <v>0.27717995643616011</v>
      </c>
    </row>
    <row r="102" spans="1:11" x14ac:dyDescent="0.2">
      <c r="A102">
        <v>8058</v>
      </c>
      <c r="B102" t="s">
        <v>110</v>
      </c>
      <c r="D102">
        <v>1.2884671688079801</v>
      </c>
      <c r="E102">
        <v>0.53883802890777499</v>
      </c>
      <c r="F102">
        <v>1.39786732196807</v>
      </c>
      <c r="G102">
        <v>0.52881270647048895</v>
      </c>
      <c r="H102">
        <v>1.17906713485717</v>
      </c>
      <c r="I102">
        <v>0.54886341094970703</v>
      </c>
      <c r="J102" t="str">
        <f t="shared" si="6"/>
        <v>I43L_I52Q_R109V</v>
      </c>
      <c r="K102">
        <f t="shared" si="5"/>
        <v>0.27644991874695002</v>
      </c>
    </row>
    <row r="103" spans="1:11" x14ac:dyDescent="0.2">
      <c r="A103">
        <v>8028</v>
      </c>
      <c r="B103" t="s">
        <v>111</v>
      </c>
      <c r="D103">
        <v>1.2934353351593</v>
      </c>
      <c r="E103">
        <v>0.57665479183196999</v>
      </c>
      <c r="F103">
        <v>1.4092166423797601</v>
      </c>
      <c r="G103">
        <v>0.58560425043106001</v>
      </c>
      <c r="H103">
        <v>1.1776540279388401</v>
      </c>
      <c r="I103">
        <v>0.56770527362823398</v>
      </c>
      <c r="J103" t="str">
        <f t="shared" si="6"/>
        <v>M41N_I52Q_R109V</v>
      </c>
      <c r="K103">
        <f t="shared" si="5"/>
        <v>0.2714817523956301</v>
      </c>
    </row>
    <row r="104" spans="1:11" x14ac:dyDescent="0.2">
      <c r="A104">
        <v>8020</v>
      </c>
      <c r="B104" t="s">
        <v>112</v>
      </c>
      <c r="D104">
        <v>1.29558110237121</v>
      </c>
      <c r="E104">
        <v>0.57041454315185502</v>
      </c>
      <c r="F104">
        <v>1.4576668739318801</v>
      </c>
      <c r="G104">
        <v>0.58777832984924305</v>
      </c>
      <c r="H104">
        <v>1.13349533081054</v>
      </c>
      <c r="I104">
        <v>0.55305081605911199</v>
      </c>
      <c r="J104" t="str">
        <f t="shared" si="6"/>
        <v>M41T_I52Q_R109V</v>
      </c>
      <c r="K104">
        <f t="shared" si="5"/>
        <v>0.26933598518372004</v>
      </c>
    </row>
    <row r="105" spans="1:11" x14ac:dyDescent="0.2">
      <c r="A105">
        <v>8019</v>
      </c>
      <c r="B105" t="s">
        <v>113</v>
      </c>
      <c r="D105">
        <v>1.29888272285461</v>
      </c>
      <c r="E105">
        <v>0.55027246475219704</v>
      </c>
      <c r="F105">
        <v>1.4611181020736601</v>
      </c>
      <c r="G105">
        <v>0.55148309469223</v>
      </c>
      <c r="H105">
        <v>1.13664734363555</v>
      </c>
      <c r="I105">
        <v>0.54906189441680897</v>
      </c>
      <c r="J105" t="str">
        <f t="shared" si="6"/>
        <v>I52Q_R109V_K121S</v>
      </c>
      <c r="K105">
        <f t="shared" si="5"/>
        <v>0.26603436470032005</v>
      </c>
    </row>
    <row r="106" spans="1:11" x14ac:dyDescent="0.2">
      <c r="A106">
        <v>8026</v>
      </c>
      <c r="B106" t="s">
        <v>114</v>
      </c>
      <c r="D106">
        <v>1.30021107196807</v>
      </c>
      <c r="E106">
        <v>0.53362965583801203</v>
      </c>
      <c r="F106">
        <v>1.3807122707366899</v>
      </c>
      <c r="G106">
        <v>0.53567802906036299</v>
      </c>
      <c r="H106">
        <v>1.21970987319946</v>
      </c>
      <c r="I106">
        <v>0.53158128261566095</v>
      </c>
      <c r="J106" t="str">
        <f t="shared" si="6"/>
        <v>I52Q_V74T_R109V</v>
      </c>
      <c r="K106">
        <f t="shared" si="5"/>
        <v>0.26470601558686013</v>
      </c>
    </row>
    <row r="107" spans="1:11" x14ac:dyDescent="0.2">
      <c r="A107">
        <v>8027</v>
      </c>
      <c r="B107" t="s">
        <v>115</v>
      </c>
      <c r="D107">
        <v>1.3084043264389</v>
      </c>
      <c r="E107">
        <v>0.55282670259475697</v>
      </c>
      <c r="F107">
        <v>1.40349888801574</v>
      </c>
      <c r="G107">
        <v>0.54372978210449197</v>
      </c>
      <c r="H107">
        <v>1.2133097648620601</v>
      </c>
      <c r="I107">
        <v>0.56192362308502197</v>
      </c>
      <c r="J107" t="str">
        <f t="shared" si="6"/>
        <v>I52Q_R109V_V116A</v>
      </c>
      <c r="K107">
        <f t="shared" si="5"/>
        <v>0.25651276111603005</v>
      </c>
    </row>
    <row r="108" spans="1:11" x14ac:dyDescent="0.2">
      <c r="A108">
        <v>8033</v>
      </c>
      <c r="B108" t="s">
        <v>116</v>
      </c>
      <c r="D108">
        <v>1.316046833992</v>
      </c>
      <c r="E108">
        <v>0.53595089912414495</v>
      </c>
      <c r="F108">
        <v>1.3871996402740401</v>
      </c>
      <c r="G108">
        <v>0.53674077987670898</v>
      </c>
      <c r="H108">
        <v>1.24489402770996</v>
      </c>
      <c r="I108">
        <v>0.53516107797622603</v>
      </c>
      <c r="J108" t="str">
        <f t="shared" si="6"/>
        <v>N46D_I52Q_R109V</v>
      </c>
      <c r="K108">
        <f t="shared" si="5"/>
        <v>0.24887025356293013</v>
      </c>
    </row>
    <row r="109" spans="1:11" x14ac:dyDescent="0.2">
      <c r="A109">
        <v>8036</v>
      </c>
      <c r="B109" t="s">
        <v>117</v>
      </c>
      <c r="D109">
        <v>1.3179631233215301</v>
      </c>
      <c r="E109">
        <v>0.57255029678344704</v>
      </c>
      <c r="F109">
        <v>1.47111392021179</v>
      </c>
      <c r="G109">
        <v>0.58568918704986495</v>
      </c>
      <c r="H109">
        <v>1.16481232643127</v>
      </c>
      <c r="I109">
        <v>0.55941134691238403</v>
      </c>
      <c r="J109" t="str">
        <f t="shared" si="6"/>
        <v>M41S_I52Q_R109V</v>
      </c>
      <c r="K109">
        <f t="shared" si="5"/>
        <v>0.24695396423339999</v>
      </c>
    </row>
    <row r="110" spans="1:11" x14ac:dyDescent="0.2">
      <c r="A110">
        <v>8032</v>
      </c>
      <c r="B110" t="s">
        <v>118</v>
      </c>
      <c r="D110">
        <v>1.3186852931976301</v>
      </c>
      <c r="E110">
        <v>0.54245966672897294</v>
      </c>
      <c r="F110">
        <v>1.4657552242278999</v>
      </c>
      <c r="G110">
        <v>0.53874880075454701</v>
      </c>
      <c r="H110">
        <v>1.17161548137664</v>
      </c>
      <c r="I110">
        <v>0.54617053270339899</v>
      </c>
      <c r="J110" t="str">
        <f t="shared" si="6"/>
        <v>I52Q_R109V_K121D</v>
      </c>
      <c r="K110">
        <f t="shared" si="5"/>
        <v>0.24623179435730003</v>
      </c>
    </row>
    <row r="111" spans="1:11" x14ac:dyDescent="0.2">
      <c r="A111">
        <v>8023</v>
      </c>
      <c r="B111" t="s">
        <v>119</v>
      </c>
      <c r="D111">
        <v>1.3194451332092201</v>
      </c>
      <c r="E111">
        <v>0.54373288154601995</v>
      </c>
      <c r="F111">
        <v>1.4651340246200499</v>
      </c>
      <c r="G111">
        <v>0.53855508565902699</v>
      </c>
      <c r="H111">
        <v>1.1737562417984</v>
      </c>
      <c r="I111">
        <v>0.54891067743301303</v>
      </c>
      <c r="J111" t="str">
        <f t="shared" si="6"/>
        <v>I52Q_R109V_K121E</v>
      </c>
      <c r="K111">
        <f t="shared" si="5"/>
        <v>0.24547195434571001</v>
      </c>
    </row>
    <row r="112" spans="1:11" x14ac:dyDescent="0.2">
      <c r="A112">
        <v>8041</v>
      </c>
      <c r="B112" t="s">
        <v>120</v>
      </c>
      <c r="D112">
        <v>1.3209758996963501</v>
      </c>
      <c r="E112">
        <v>0.56138885021209695</v>
      </c>
      <c r="F112">
        <v>1.4249956607818599</v>
      </c>
      <c r="G112">
        <v>0.57822102308273304</v>
      </c>
      <c r="H112">
        <v>1.2169561386108301</v>
      </c>
      <c r="I112">
        <v>0.54455673694610596</v>
      </c>
      <c r="J112" t="str">
        <f t="shared" si="6"/>
        <v>I52Q_G89D_R109V</v>
      </c>
      <c r="K112">
        <f t="shared" si="5"/>
        <v>0.24394118785857999</v>
      </c>
    </row>
    <row r="113" spans="1:11" x14ac:dyDescent="0.2">
      <c r="A113">
        <v>8017</v>
      </c>
      <c r="B113" t="s">
        <v>121</v>
      </c>
      <c r="D113">
        <v>1.32621765136718</v>
      </c>
      <c r="E113">
        <v>0.54792326688766402</v>
      </c>
      <c r="F113">
        <v>1.50309109687805</v>
      </c>
      <c r="G113">
        <v>0.56281936168670599</v>
      </c>
      <c r="H113">
        <v>1.1493443250656099</v>
      </c>
      <c r="I113">
        <v>0.53302717208862305</v>
      </c>
      <c r="J113" t="str">
        <f t="shared" si="6"/>
        <v>I52Q_R109V_K121Q</v>
      </c>
      <c r="K113">
        <f t="shared" si="5"/>
        <v>0.23869943618775014</v>
      </c>
    </row>
    <row r="114" spans="1:11" x14ac:dyDescent="0.2">
      <c r="A114">
        <v>8013</v>
      </c>
      <c r="B114" t="s">
        <v>122</v>
      </c>
      <c r="D114">
        <v>1.3270289897918699</v>
      </c>
      <c r="E114">
        <v>0.54141616821288996</v>
      </c>
      <c r="F114">
        <v>1.4354106187820399</v>
      </c>
      <c r="G114">
        <v>0.54517811536788896</v>
      </c>
      <c r="H114">
        <v>1.2186472415923999</v>
      </c>
      <c r="I114">
        <v>0.53765416145324696</v>
      </c>
      <c r="J114" t="str">
        <f t="shared" si="6"/>
        <v>I52Q_G100D_R109V</v>
      </c>
      <c r="K114">
        <f t="shared" si="5"/>
        <v>0.23788809776306019</v>
      </c>
    </row>
    <row r="115" spans="1:11" x14ac:dyDescent="0.2">
      <c r="A115">
        <v>8057</v>
      </c>
      <c r="B115" t="s">
        <v>123</v>
      </c>
      <c r="D115">
        <v>1.3338829278945901</v>
      </c>
      <c r="E115">
        <v>0.51389396190643299</v>
      </c>
      <c r="F115">
        <v>1.4770678281784</v>
      </c>
      <c r="G115">
        <v>0.56330698728561401</v>
      </c>
      <c r="H115">
        <v>1.1906980276107699</v>
      </c>
      <c r="I115">
        <v>0.46448096632957397</v>
      </c>
      <c r="J115" t="str">
        <f t="shared" si="6"/>
        <v>I52Q_R109V_K121P</v>
      </c>
      <c r="K115">
        <f t="shared" si="5"/>
        <v>0.23103415966034002</v>
      </c>
    </row>
    <row r="116" spans="1:11" x14ac:dyDescent="0.2">
      <c r="A116">
        <v>8025</v>
      </c>
      <c r="B116" t="s">
        <v>124</v>
      </c>
      <c r="D116">
        <v>1.3358581066131501</v>
      </c>
      <c r="E116">
        <v>0.55104577541351296</v>
      </c>
      <c r="F116">
        <v>1.51301789283752</v>
      </c>
      <c r="G116">
        <v>0.56725829839706399</v>
      </c>
      <c r="H116">
        <v>1.1586983203887899</v>
      </c>
      <c r="I116">
        <v>0.53483319282531705</v>
      </c>
      <c r="J116" t="str">
        <f t="shared" si="6"/>
        <v>I52Q_R109V_K121G</v>
      </c>
      <c r="K116">
        <f t="shared" si="5"/>
        <v>0.22905898094178001</v>
      </c>
    </row>
    <row r="117" spans="1:11" x14ac:dyDescent="0.2">
      <c r="A117">
        <v>8035</v>
      </c>
      <c r="B117" t="s">
        <v>125</v>
      </c>
      <c r="D117">
        <v>1.34013366699218</v>
      </c>
      <c r="E117">
        <v>0.547715663909912</v>
      </c>
      <c r="F117">
        <v>1.45844161510467</v>
      </c>
      <c r="G117">
        <v>0.56754612922668402</v>
      </c>
      <c r="H117">
        <v>1.2218258380889799</v>
      </c>
      <c r="I117">
        <v>0.52788525819778398</v>
      </c>
      <c r="J117" t="str">
        <f t="shared" si="6"/>
        <v>M41N_I52M_K121N</v>
      </c>
      <c r="K117">
        <f t="shared" si="5"/>
        <v>0.22478342056275014</v>
      </c>
    </row>
    <row r="118" spans="1:11" x14ac:dyDescent="0.2">
      <c r="A118">
        <v>8051</v>
      </c>
      <c r="B118" t="s">
        <v>126</v>
      </c>
      <c r="D118">
        <v>1.3409850597381501</v>
      </c>
      <c r="E118">
        <v>0.54171597957610995</v>
      </c>
      <c r="F118">
        <v>1.4585585594177199</v>
      </c>
      <c r="G118">
        <v>0.54268258810043302</v>
      </c>
      <c r="H118">
        <v>1.22341156005859</v>
      </c>
      <c r="I118">
        <v>0.540749311447143</v>
      </c>
      <c r="J118" t="str">
        <f t="shared" si="6"/>
        <v>M41N_I52M_G90D</v>
      </c>
      <c r="K118">
        <f t="shared" si="5"/>
        <v>0.22393202781678001</v>
      </c>
    </row>
    <row r="119" spans="1:11" x14ac:dyDescent="0.2">
      <c r="A119">
        <v>8055</v>
      </c>
      <c r="B119" t="s">
        <v>127</v>
      </c>
      <c r="D119">
        <v>1.3415944576263401</v>
      </c>
      <c r="E119">
        <v>0.53646540641784601</v>
      </c>
      <c r="F119">
        <v>1.4505518674850399</v>
      </c>
      <c r="G119">
        <v>0.557048439979553</v>
      </c>
      <c r="H119">
        <v>1.2326369285583401</v>
      </c>
      <c r="I119">
        <v>0.51588237285614003</v>
      </c>
      <c r="J119" t="str">
        <f t="shared" si="6"/>
        <v>M41T_I52M_S102D</v>
      </c>
      <c r="K119">
        <f t="shared" si="5"/>
        <v>0.22332262992858998</v>
      </c>
    </row>
    <row r="120" spans="1:11" x14ac:dyDescent="0.2">
      <c r="A120">
        <v>8016</v>
      </c>
      <c r="B120" t="s">
        <v>128</v>
      </c>
      <c r="D120">
        <v>1.3419519662857</v>
      </c>
      <c r="E120">
        <v>0.53808730840682895</v>
      </c>
      <c r="F120">
        <v>1.5276626348495399</v>
      </c>
      <c r="G120">
        <v>0.52905225753784102</v>
      </c>
      <c r="H120">
        <v>1.1562412977218599</v>
      </c>
      <c r="I120">
        <v>0.54712235927581698</v>
      </c>
      <c r="J120" t="str">
        <f t="shared" si="6"/>
        <v>V33M_I52Q_R109V</v>
      </c>
      <c r="K120">
        <f t="shared" si="5"/>
        <v>0.22296512126923007</v>
      </c>
    </row>
    <row r="121" spans="1:11" x14ac:dyDescent="0.2">
      <c r="A121">
        <v>8039</v>
      </c>
      <c r="B121" t="s">
        <v>129</v>
      </c>
      <c r="D121">
        <v>1.3458510637283301</v>
      </c>
      <c r="E121">
        <v>0.51222991943359297</v>
      </c>
      <c r="F121">
        <v>1.4728209972381501</v>
      </c>
      <c r="G121">
        <v>0.52341836690902699</v>
      </c>
      <c r="H121">
        <v>1.2188811302185001</v>
      </c>
      <c r="I121">
        <v>0.50104147195815996</v>
      </c>
      <c r="J121" t="str">
        <f t="shared" si="6"/>
        <v>I43T_I52Q_R109V</v>
      </c>
      <c r="K121">
        <f t="shared" si="5"/>
        <v>0.21906602382660001</v>
      </c>
    </row>
    <row r="122" spans="1:11" x14ac:dyDescent="0.2">
      <c r="A122">
        <v>8047</v>
      </c>
      <c r="B122" t="s">
        <v>130</v>
      </c>
      <c r="D122">
        <v>1.3488585948944001</v>
      </c>
      <c r="E122">
        <v>0.536299347877502</v>
      </c>
      <c r="F122">
        <v>1.4873782396316499</v>
      </c>
      <c r="G122">
        <v>0.54861211776733398</v>
      </c>
      <c r="H122">
        <v>1.21033883094787</v>
      </c>
      <c r="I122">
        <v>0.52398651838302601</v>
      </c>
      <c r="J122" t="str">
        <f t="shared" si="6"/>
        <v>M41N_I52M_G89D</v>
      </c>
      <c r="K122">
        <f t="shared" si="5"/>
        <v>0.21605849266053001</v>
      </c>
    </row>
    <row r="123" spans="1:11" x14ac:dyDescent="0.2">
      <c r="A123">
        <v>8056</v>
      </c>
      <c r="B123" t="s">
        <v>131</v>
      </c>
      <c r="D123">
        <v>1.3497116565704299</v>
      </c>
      <c r="E123">
        <v>0.54757064580917303</v>
      </c>
      <c r="F123">
        <v>1.4826682806014999</v>
      </c>
      <c r="G123">
        <v>0.57178896665573098</v>
      </c>
      <c r="H123">
        <v>1.2167551517486499</v>
      </c>
      <c r="I123">
        <v>0.52335232496261597</v>
      </c>
      <c r="J123" t="str">
        <f t="shared" si="6"/>
        <v>M41N_I52M_G89E</v>
      </c>
      <c r="K123">
        <f t="shared" si="5"/>
        <v>0.21520543098450018</v>
      </c>
    </row>
    <row r="124" spans="1:11" x14ac:dyDescent="0.2">
      <c r="A124">
        <v>8034</v>
      </c>
      <c r="B124" t="s">
        <v>132</v>
      </c>
      <c r="D124">
        <v>1.3558316230773899</v>
      </c>
      <c r="E124">
        <v>0.522291779518127</v>
      </c>
      <c r="F124">
        <v>1.51992988586425</v>
      </c>
      <c r="G124">
        <v>0.52219986915588301</v>
      </c>
      <c r="H124">
        <v>1.19173336029052</v>
      </c>
      <c r="I124">
        <v>0.52238363027572599</v>
      </c>
      <c r="J124" t="str">
        <f t="shared" si="6"/>
        <v>I43N_I52Q_R109V</v>
      </c>
      <c r="K124">
        <f t="shared" si="5"/>
        <v>0.20908546447754017</v>
      </c>
    </row>
    <row r="125" spans="1:11" x14ac:dyDescent="0.2">
      <c r="A125">
        <v>8048</v>
      </c>
      <c r="B125" t="s">
        <v>133</v>
      </c>
      <c r="D125">
        <v>1.3572790622711099</v>
      </c>
      <c r="E125">
        <v>0.53230369091033902</v>
      </c>
      <c r="F125">
        <v>1.43807733058929</v>
      </c>
      <c r="G125">
        <v>0.55738723278045599</v>
      </c>
      <c r="H125">
        <v>1.2764806747436499</v>
      </c>
      <c r="I125">
        <v>0.50722014904022195</v>
      </c>
      <c r="J125" t="str">
        <f t="shared" si="6"/>
        <v>M41N_I52M_G100D</v>
      </c>
      <c r="K125">
        <f t="shared" si="5"/>
        <v>0.20763802528382014</v>
      </c>
    </row>
    <row r="126" spans="1:11" x14ac:dyDescent="0.2">
      <c r="A126">
        <v>8052</v>
      </c>
      <c r="B126" t="s">
        <v>134</v>
      </c>
      <c r="D126">
        <v>1.3669133186340301</v>
      </c>
      <c r="E126">
        <v>0.54311680793762196</v>
      </c>
      <c r="F126">
        <v>1.4927718639373699</v>
      </c>
      <c r="G126">
        <v>0.55708372592926003</v>
      </c>
      <c r="H126">
        <v>1.24105477333068</v>
      </c>
      <c r="I126">
        <v>0.529149949550628</v>
      </c>
      <c r="J126" t="str">
        <f t="shared" si="6"/>
        <v>C2A_I52Q_R109V</v>
      </c>
      <c r="K126">
        <f t="shared" si="5"/>
        <v>0.19800376892089999</v>
      </c>
    </row>
    <row r="127" spans="1:11" x14ac:dyDescent="0.2">
      <c r="A127">
        <v>8031</v>
      </c>
      <c r="B127" t="s">
        <v>135</v>
      </c>
      <c r="D127">
        <v>1.3692920207977199</v>
      </c>
      <c r="E127">
        <v>0.54537367820739702</v>
      </c>
      <c r="F127">
        <v>1.5999335050582799</v>
      </c>
      <c r="G127">
        <v>0.53690296411514205</v>
      </c>
      <c r="H127">
        <v>1.13865041732788</v>
      </c>
      <c r="I127">
        <v>0.55384433269500699</v>
      </c>
      <c r="J127" t="str">
        <f t="shared" si="6"/>
        <v>I52Q_R109V_K121A</v>
      </c>
      <c r="K127">
        <f t="shared" si="5"/>
        <v>0.19562506675721014</v>
      </c>
    </row>
    <row r="128" spans="1:11" x14ac:dyDescent="0.2">
      <c r="A128">
        <v>8022</v>
      </c>
      <c r="B128" t="s">
        <v>136</v>
      </c>
      <c r="D128">
        <v>1.37309718132019</v>
      </c>
      <c r="E128">
        <v>0.53182679414749101</v>
      </c>
      <c r="F128">
        <v>1.5284227132797199</v>
      </c>
      <c r="G128">
        <v>0.53556019067764205</v>
      </c>
      <c r="H128">
        <v>1.2177715301513601</v>
      </c>
      <c r="I128">
        <v>0.52809339761733998</v>
      </c>
      <c r="J128" t="str">
        <f t="shared" si="6"/>
        <v>I52Q_S102D_R109V</v>
      </c>
      <c r="K128">
        <f t="shared" si="5"/>
        <v>0.1918199062347401</v>
      </c>
    </row>
    <row r="129" spans="1:11" x14ac:dyDescent="0.2">
      <c r="A129">
        <v>8042</v>
      </c>
      <c r="B129" t="s">
        <v>137</v>
      </c>
      <c r="D129">
        <v>1.3765850067138601</v>
      </c>
      <c r="E129">
        <v>0.51529896259307795</v>
      </c>
      <c r="F129">
        <v>1.4680157899856501</v>
      </c>
      <c r="G129">
        <v>0.52712076902389504</v>
      </c>
      <c r="H129">
        <v>1.2851543426513601</v>
      </c>
      <c r="I129">
        <v>0.50347721576690596</v>
      </c>
      <c r="J129" t="str">
        <f t="shared" si="6"/>
        <v>M41N_I52M_S102E</v>
      </c>
      <c r="K129">
        <f t="shared" si="5"/>
        <v>0.18833208084107</v>
      </c>
    </row>
    <row r="130" spans="1:11" x14ac:dyDescent="0.2">
      <c r="A130">
        <v>8060</v>
      </c>
      <c r="B130" t="s">
        <v>138</v>
      </c>
      <c r="D130">
        <v>1.3831804990768399</v>
      </c>
      <c r="E130">
        <v>0.52641952037811202</v>
      </c>
      <c r="F130">
        <v>1.5901697874069201</v>
      </c>
      <c r="G130">
        <v>0.52296155691146795</v>
      </c>
      <c r="H130">
        <v>1.17619121074676</v>
      </c>
      <c r="I130">
        <v>0.52987754344940097</v>
      </c>
      <c r="J130" t="str">
        <f t="shared" ref="J130:J161" si="7">_xlfn.TEXTBEFORE(_xlfn.TEXTAFTER(B130,"-")," ")</f>
        <v>I43Q_I52Q_R109V</v>
      </c>
      <c r="K130">
        <f t="shared" si="5"/>
        <v>0.18173658847809016</v>
      </c>
    </row>
    <row r="131" spans="1:11" x14ac:dyDescent="0.2">
      <c r="A131">
        <v>8061</v>
      </c>
      <c r="B131" t="s">
        <v>139</v>
      </c>
      <c r="D131">
        <v>1.3909103870391799</v>
      </c>
      <c r="E131">
        <v>0.53695213794708196</v>
      </c>
      <c r="F131">
        <v>1.5565652847289999</v>
      </c>
      <c r="G131">
        <v>0.53222489356994596</v>
      </c>
      <c r="H131">
        <v>1.2252554893493599</v>
      </c>
      <c r="I131">
        <v>0.54167944192886297</v>
      </c>
      <c r="J131" t="str">
        <f t="shared" si="7"/>
        <v>V45A_I52Q_R109V</v>
      </c>
      <c r="K131">
        <f t="shared" ref="K131:K194" si="8">$D$2-D131</f>
        <v>0.17400670051575018</v>
      </c>
    </row>
    <row r="132" spans="1:11" x14ac:dyDescent="0.2">
      <c r="A132">
        <v>8018</v>
      </c>
      <c r="B132" t="s">
        <v>140</v>
      </c>
      <c r="D132">
        <v>1.3925837278366</v>
      </c>
      <c r="E132">
        <v>0.494282066822052</v>
      </c>
      <c r="F132">
        <v>1.4980671405792201</v>
      </c>
      <c r="G132">
        <v>0.49920293688774098</v>
      </c>
      <c r="H132">
        <v>1.2871003150939899</v>
      </c>
      <c r="I132">
        <v>0.48936119675636203</v>
      </c>
      <c r="J132" t="str">
        <f t="shared" si="7"/>
        <v>I52M_S102Q_K121N</v>
      </c>
      <c r="K132">
        <f t="shared" si="8"/>
        <v>0.17233335971833008</v>
      </c>
    </row>
    <row r="133" spans="1:11" x14ac:dyDescent="0.2">
      <c r="A133">
        <v>8049</v>
      </c>
      <c r="B133" t="s">
        <v>141</v>
      </c>
      <c r="D133">
        <v>1.39379858970642</v>
      </c>
      <c r="E133">
        <v>0.52286934852600098</v>
      </c>
      <c r="F133">
        <v>1.52117884159088</v>
      </c>
      <c r="G133">
        <v>0.51905292272567705</v>
      </c>
      <c r="H133">
        <v>1.26641845703125</v>
      </c>
      <c r="I133">
        <v>0.52668571472167902</v>
      </c>
      <c r="J133" t="str">
        <f t="shared" si="7"/>
        <v>C2S_I52Q_R109V</v>
      </c>
      <c r="K133">
        <f t="shared" si="8"/>
        <v>0.17111849784851008</v>
      </c>
    </row>
    <row r="134" spans="1:11" x14ac:dyDescent="0.2">
      <c r="A134">
        <v>8015</v>
      </c>
      <c r="B134" t="s">
        <v>142</v>
      </c>
      <c r="D134">
        <v>1.3979979753494201</v>
      </c>
      <c r="E134">
        <v>0.54169976711273105</v>
      </c>
      <c r="F134">
        <v>1.5607992410659699</v>
      </c>
      <c r="G134">
        <v>0.53342568874359098</v>
      </c>
      <c r="H134">
        <v>1.23519670963287</v>
      </c>
      <c r="I134">
        <v>0.549973905086517</v>
      </c>
      <c r="J134" t="str">
        <f t="shared" si="7"/>
        <v>I52Q_K108T_R109V</v>
      </c>
      <c r="K134">
        <f t="shared" si="8"/>
        <v>0.16691911220551003</v>
      </c>
    </row>
    <row r="135" spans="1:11" x14ac:dyDescent="0.2">
      <c r="A135">
        <v>8059</v>
      </c>
      <c r="B135" t="s">
        <v>143</v>
      </c>
      <c r="D135">
        <v>1.4005501270294101</v>
      </c>
      <c r="E135">
        <v>0.52611708641052202</v>
      </c>
      <c r="F135">
        <v>1.5108425617218</v>
      </c>
      <c r="G135">
        <v>0.53479492664337103</v>
      </c>
      <c r="H135">
        <v>1.2902576923370299</v>
      </c>
      <c r="I135">
        <v>0.51743924617767301</v>
      </c>
      <c r="J135" t="str">
        <f t="shared" si="7"/>
        <v>M41S_I52M_S102D</v>
      </c>
      <c r="K135">
        <f t="shared" si="8"/>
        <v>0.16436696052552002</v>
      </c>
    </row>
    <row r="136" spans="1:11" x14ac:dyDescent="0.2">
      <c r="A136">
        <v>8021</v>
      </c>
      <c r="B136" t="s">
        <v>144</v>
      </c>
      <c r="D136">
        <v>1.40131282806396</v>
      </c>
      <c r="E136">
        <v>0.545973241329193</v>
      </c>
      <c r="F136">
        <v>1.51323878765106</v>
      </c>
      <c r="G136">
        <v>0.56120282411575295</v>
      </c>
      <c r="H136">
        <v>1.2893869876861499</v>
      </c>
      <c r="I136">
        <v>0.53074365854263295</v>
      </c>
      <c r="J136" t="str">
        <f t="shared" si="7"/>
        <v>I52Q_V74N_R109V</v>
      </c>
      <c r="K136">
        <f t="shared" si="8"/>
        <v>0.16360425949097013</v>
      </c>
    </row>
    <row r="137" spans="1:11" x14ac:dyDescent="0.2">
      <c r="A137">
        <v>8054</v>
      </c>
      <c r="B137" t="s">
        <v>145</v>
      </c>
      <c r="D137">
        <v>1.4027225971221899</v>
      </c>
      <c r="E137">
        <v>0.52294260263442904</v>
      </c>
      <c r="F137">
        <v>1.60900294780731</v>
      </c>
      <c r="G137">
        <v>0.53099030256271296</v>
      </c>
      <c r="H137">
        <v>1.1964423656463601</v>
      </c>
      <c r="I137">
        <v>0.51489490270614602</v>
      </c>
      <c r="J137" t="str">
        <f t="shared" si="7"/>
        <v>I52M_G89D_K101Q</v>
      </c>
      <c r="K137">
        <f t="shared" si="8"/>
        <v>0.16219449043274015</v>
      </c>
    </row>
    <row r="138" spans="1:11" x14ac:dyDescent="0.2">
      <c r="A138">
        <v>8046</v>
      </c>
      <c r="B138" t="s">
        <v>146</v>
      </c>
      <c r="D138">
        <v>1.40756034851074</v>
      </c>
      <c r="E138">
        <v>0.54136699438095004</v>
      </c>
      <c r="F138">
        <v>1.61408007144927</v>
      </c>
      <c r="G138">
        <v>0.562927186489105</v>
      </c>
      <c r="H138">
        <v>1.2010405063629099</v>
      </c>
      <c r="I138">
        <v>0.51980680227279596</v>
      </c>
      <c r="J138" t="str">
        <f t="shared" si="7"/>
        <v>M41T_I52M_G89D</v>
      </c>
      <c r="K138">
        <f t="shared" si="8"/>
        <v>0.15735673904419012</v>
      </c>
    </row>
    <row r="139" spans="1:11" x14ac:dyDescent="0.2">
      <c r="A139">
        <v>8045</v>
      </c>
      <c r="B139" t="s">
        <v>147</v>
      </c>
      <c r="D139">
        <v>1.4224653244018499</v>
      </c>
      <c r="E139">
        <v>0.53109794855117798</v>
      </c>
      <c r="F139">
        <v>1.6117734909057599</v>
      </c>
      <c r="G139">
        <v>0.54446828365325906</v>
      </c>
      <c r="H139">
        <v>1.2331572771072301</v>
      </c>
      <c r="I139">
        <v>0.51772761344909601</v>
      </c>
      <c r="J139" t="str">
        <f t="shared" si="7"/>
        <v>C2T_I52Q_R109V</v>
      </c>
      <c r="K139">
        <f t="shared" si="8"/>
        <v>0.14245176315308017</v>
      </c>
    </row>
    <row r="140" spans="1:11" x14ac:dyDescent="0.2">
      <c r="A140">
        <v>8050</v>
      </c>
      <c r="B140" t="s">
        <v>148</v>
      </c>
      <c r="D140">
        <v>1.42625427246093</v>
      </c>
      <c r="E140">
        <v>0.51446872949600198</v>
      </c>
      <c r="F140">
        <v>1.54767370223999</v>
      </c>
      <c r="G140">
        <v>0.51506376266479403</v>
      </c>
      <c r="H140">
        <v>1.3048349618911701</v>
      </c>
      <c r="I140">
        <v>0.51387369632720903</v>
      </c>
      <c r="J140" t="str">
        <f t="shared" si="7"/>
        <v>C2V_M41N_I52M</v>
      </c>
      <c r="K140">
        <f t="shared" si="8"/>
        <v>0.13866281509400014</v>
      </c>
    </row>
    <row r="141" spans="1:11" x14ac:dyDescent="0.2">
      <c r="A141">
        <v>8044</v>
      </c>
      <c r="B141" t="s">
        <v>149</v>
      </c>
      <c r="D141">
        <v>1.4297394752502399</v>
      </c>
      <c r="E141">
        <v>0.450669765472412</v>
      </c>
      <c r="F141">
        <v>1.47438848018646</v>
      </c>
      <c r="G141">
        <v>0.44398096203803999</v>
      </c>
      <c r="H141">
        <v>1.3850903511047301</v>
      </c>
      <c r="I141">
        <v>0.457358539104461</v>
      </c>
      <c r="J141" t="str">
        <f t="shared" si="7"/>
        <v>I52Q_I105A_R109V</v>
      </c>
      <c r="K141">
        <f t="shared" si="8"/>
        <v>0.13517761230469016</v>
      </c>
    </row>
    <row r="142" spans="1:11" x14ac:dyDescent="0.2">
      <c r="A142">
        <v>8062</v>
      </c>
      <c r="B142" t="s">
        <v>150</v>
      </c>
      <c r="D142">
        <v>1.43082022666931</v>
      </c>
      <c r="E142">
        <v>0.47481372952461198</v>
      </c>
      <c r="F142">
        <v>1.48640465736389</v>
      </c>
      <c r="G142">
        <v>0.49172377586364702</v>
      </c>
      <c r="H142">
        <v>1.3752357959747299</v>
      </c>
      <c r="I142">
        <v>0.457903683185577</v>
      </c>
      <c r="J142" t="str">
        <f t="shared" si="7"/>
        <v>M41A_I52M_S102E</v>
      </c>
      <c r="K142">
        <f t="shared" si="8"/>
        <v>0.13409686088562012</v>
      </c>
    </row>
    <row r="143" spans="1:11" x14ac:dyDescent="0.2">
      <c r="A143">
        <v>8014</v>
      </c>
      <c r="B143" t="s">
        <v>151</v>
      </c>
      <c r="D143">
        <v>1.43176758289337</v>
      </c>
      <c r="E143">
        <v>0.54700613021850497</v>
      </c>
      <c r="F143">
        <v>1.6290813684463501</v>
      </c>
      <c r="G143">
        <v>0.54090487957000699</v>
      </c>
      <c r="H143">
        <v>1.23445379734039</v>
      </c>
      <c r="I143">
        <v>0.55310744047164895</v>
      </c>
      <c r="J143" t="str">
        <f t="shared" si="7"/>
        <v>I52Q_K80E_R109V</v>
      </c>
      <c r="K143">
        <f t="shared" si="8"/>
        <v>0.13314950466156006</v>
      </c>
    </row>
    <row r="144" spans="1:11" x14ac:dyDescent="0.2">
      <c r="A144">
        <v>8053</v>
      </c>
      <c r="B144" t="s">
        <v>152</v>
      </c>
      <c r="D144">
        <v>1.44770979881286</v>
      </c>
      <c r="E144">
        <v>0.50810253620147705</v>
      </c>
      <c r="F144">
        <v>1.62981116771698</v>
      </c>
      <c r="G144">
        <v>0.51101869344711304</v>
      </c>
      <c r="H144">
        <v>1.26560842990875</v>
      </c>
      <c r="I144">
        <v>0.50518643856048495</v>
      </c>
      <c r="J144" t="str">
        <f t="shared" si="7"/>
        <v>I52M_S102Q_K121D</v>
      </c>
      <c r="K144">
        <f t="shared" si="8"/>
        <v>0.11720728874207009</v>
      </c>
    </row>
    <row r="145" spans="1:11" x14ac:dyDescent="0.2">
      <c r="A145">
        <v>8043</v>
      </c>
      <c r="B145" t="s">
        <v>153</v>
      </c>
      <c r="D145">
        <v>1.45396256446838</v>
      </c>
      <c r="E145">
        <v>0.50477766990661599</v>
      </c>
      <c r="F145">
        <v>1.54221415519714</v>
      </c>
      <c r="G145">
        <v>0.53099888563156095</v>
      </c>
      <c r="H145">
        <v>1.36571085453033</v>
      </c>
      <c r="I145">
        <v>0.47855642437934798</v>
      </c>
      <c r="J145" t="str">
        <f t="shared" si="7"/>
        <v>I52Q_I105Q_R109V</v>
      </c>
      <c r="K145">
        <f t="shared" si="8"/>
        <v>0.11095452308655007</v>
      </c>
    </row>
    <row r="146" spans="1:11" x14ac:dyDescent="0.2">
      <c r="A146">
        <v>8040</v>
      </c>
      <c r="B146" t="s">
        <v>154</v>
      </c>
      <c r="D146">
        <v>1.4625389575958201</v>
      </c>
      <c r="E146">
        <v>0.47052225470542902</v>
      </c>
      <c r="F146">
        <v>1.5626138448715201</v>
      </c>
      <c r="G146">
        <v>0.488680869340896</v>
      </c>
      <c r="H146">
        <v>1.3624641895294101</v>
      </c>
      <c r="I146">
        <v>0.45236364006996099</v>
      </c>
      <c r="J146" t="str">
        <f t="shared" si="7"/>
        <v>I52Q_I105T_R109V</v>
      </c>
      <c r="K146">
        <f t="shared" si="8"/>
        <v>0.10237812995911</v>
      </c>
    </row>
    <row r="147" spans="1:11" x14ac:dyDescent="0.2">
      <c r="A147">
        <v>8029</v>
      </c>
      <c r="B147" t="s">
        <v>155</v>
      </c>
      <c r="D147">
        <v>1.5044519901275599</v>
      </c>
      <c r="E147">
        <v>0.41044980287551802</v>
      </c>
      <c r="F147">
        <v>1.49697601795196</v>
      </c>
      <c r="G147">
        <v>0.42426717281341497</v>
      </c>
      <c r="H147">
        <v>1.5119278430938701</v>
      </c>
      <c r="I147">
        <v>0.39663243293762201</v>
      </c>
      <c r="J147" t="str">
        <f t="shared" si="7"/>
        <v>I52Q_I105G_R109V</v>
      </c>
      <c r="K147">
        <f t="shared" si="8"/>
        <v>6.0465097427370162E-2</v>
      </c>
    </row>
    <row r="148" spans="1:11" x14ac:dyDescent="0.2">
      <c r="A148">
        <v>8076</v>
      </c>
      <c r="B148" t="s">
        <v>156</v>
      </c>
      <c r="C148" t="s">
        <v>157</v>
      </c>
      <c r="D148">
        <v>1.2118333578109699</v>
      </c>
      <c r="E148">
        <v>0.557714223861694</v>
      </c>
      <c r="F148">
        <v>1.2247830629348699</v>
      </c>
      <c r="G148">
        <v>0.53524714708328203</v>
      </c>
      <c r="H148">
        <v>1.1988836526870701</v>
      </c>
      <c r="I148">
        <v>0.58018130064010598</v>
      </c>
      <c r="J148" t="str">
        <f t="shared" si="7"/>
        <v>I52Q_I66C_R109V_V116A</v>
      </c>
      <c r="K148">
        <f t="shared" si="8"/>
        <v>0.35308372974396018</v>
      </c>
    </row>
    <row r="149" spans="1:11" x14ac:dyDescent="0.2">
      <c r="A149">
        <v>8096</v>
      </c>
      <c r="B149" t="s">
        <v>158</v>
      </c>
      <c r="C149" t="s">
        <v>157</v>
      </c>
      <c r="D149">
        <v>1.22890996932983</v>
      </c>
      <c r="E149">
        <v>0.58141237497329701</v>
      </c>
      <c r="F149">
        <v>1.27370941638946</v>
      </c>
      <c r="G149">
        <v>0.60032808780670099</v>
      </c>
      <c r="H149">
        <v>1.18411040306091</v>
      </c>
      <c r="I149">
        <v>0.56249666213989202</v>
      </c>
      <c r="J149" t="str">
        <f t="shared" si="7"/>
        <v>M41N_I52Q_V74T_R109V</v>
      </c>
      <c r="K149">
        <f t="shared" si="8"/>
        <v>0.3360071182251001</v>
      </c>
    </row>
    <row r="150" spans="1:11" x14ac:dyDescent="0.2">
      <c r="A150">
        <v>8088</v>
      </c>
      <c r="B150" t="s">
        <v>159</v>
      </c>
      <c r="C150" t="s">
        <v>157</v>
      </c>
      <c r="D150">
        <v>1.2354477643966599</v>
      </c>
      <c r="E150">
        <v>0.59798002243041903</v>
      </c>
      <c r="F150">
        <v>1.3458722829818699</v>
      </c>
      <c r="G150">
        <v>0.61859858036041204</v>
      </c>
      <c r="H150">
        <v>1.12502324581146</v>
      </c>
      <c r="I150">
        <v>0.57736140489578203</v>
      </c>
      <c r="J150" t="str">
        <f t="shared" si="7"/>
        <v>M41T_I52Q_V91S_R109V</v>
      </c>
      <c r="K150">
        <f t="shared" si="8"/>
        <v>0.32946932315827016</v>
      </c>
    </row>
    <row r="151" spans="1:11" x14ac:dyDescent="0.2">
      <c r="A151">
        <v>8106</v>
      </c>
      <c r="B151" t="s">
        <v>160</v>
      </c>
      <c r="C151" t="s">
        <v>157</v>
      </c>
      <c r="D151">
        <v>1.2390949726104701</v>
      </c>
      <c r="E151">
        <v>0.56036746501922596</v>
      </c>
      <c r="F151">
        <v>1.3368281126022299</v>
      </c>
      <c r="G151">
        <v>0.56974506378173795</v>
      </c>
      <c r="H151">
        <v>1.141361951828</v>
      </c>
      <c r="I151">
        <v>0.55098980665206898</v>
      </c>
      <c r="J151" t="str">
        <f t="shared" si="7"/>
        <v>I52Q_G89E_R109V_K121S</v>
      </c>
      <c r="K151">
        <f t="shared" si="8"/>
        <v>0.32582211494446001</v>
      </c>
    </row>
    <row r="152" spans="1:11" x14ac:dyDescent="0.2">
      <c r="A152">
        <v>8074</v>
      </c>
      <c r="B152" t="s">
        <v>161</v>
      </c>
      <c r="C152" t="s">
        <v>157</v>
      </c>
      <c r="D152">
        <v>1.2581915855407699</v>
      </c>
      <c r="E152">
        <v>0.56178355216979903</v>
      </c>
      <c r="F152">
        <v>1.3892357349395701</v>
      </c>
      <c r="G152">
        <v>0.54347395896911599</v>
      </c>
      <c r="H152">
        <v>1.12714755535125</v>
      </c>
      <c r="I152">
        <v>0.58009320497512795</v>
      </c>
      <c r="J152" t="str">
        <f t="shared" si="7"/>
        <v>M41T_I52Q_I66C_R109V</v>
      </c>
      <c r="K152">
        <f t="shared" si="8"/>
        <v>0.30672550201416016</v>
      </c>
    </row>
    <row r="153" spans="1:11" x14ac:dyDescent="0.2">
      <c r="A153">
        <v>8090</v>
      </c>
      <c r="B153" t="s">
        <v>162</v>
      </c>
      <c r="C153" t="s">
        <v>157</v>
      </c>
      <c r="D153">
        <v>1.2583420276641799</v>
      </c>
      <c r="E153">
        <v>0.55467605590820301</v>
      </c>
      <c r="F153">
        <v>1.3094800710678101</v>
      </c>
      <c r="G153">
        <v>0.56672614812850897</v>
      </c>
      <c r="H153">
        <v>1.20720410346984</v>
      </c>
      <c r="I153">
        <v>0.54262602329254095</v>
      </c>
      <c r="J153" t="str">
        <f t="shared" si="7"/>
        <v>I52Q_V74T_G89E_R109V</v>
      </c>
      <c r="K153">
        <f t="shared" si="8"/>
        <v>0.30657505989075018</v>
      </c>
    </row>
    <row r="154" spans="1:11" x14ac:dyDescent="0.2">
      <c r="A154">
        <v>8118</v>
      </c>
      <c r="B154" t="s">
        <v>163</v>
      </c>
      <c r="C154" t="s">
        <v>157</v>
      </c>
      <c r="D154">
        <v>1.26476979255676</v>
      </c>
      <c r="E154">
        <v>0.57213473320007302</v>
      </c>
      <c r="F154">
        <v>1.3316302299499501</v>
      </c>
      <c r="G154">
        <v>0.58196055889129605</v>
      </c>
      <c r="H154">
        <v>1.19790935516357</v>
      </c>
      <c r="I154">
        <v>0.56230884790420499</v>
      </c>
      <c r="J154" t="str">
        <f t="shared" si="7"/>
        <v>M41N_I52Q_I66K_R109V</v>
      </c>
      <c r="K154">
        <f t="shared" si="8"/>
        <v>0.30014729499817006</v>
      </c>
    </row>
    <row r="155" spans="1:11" x14ac:dyDescent="0.2">
      <c r="A155">
        <v>8103</v>
      </c>
      <c r="B155" t="s">
        <v>164</v>
      </c>
      <c r="C155" t="s">
        <v>157</v>
      </c>
      <c r="D155">
        <v>1.2672100067138601</v>
      </c>
      <c r="E155">
        <v>0.57402980327606201</v>
      </c>
      <c r="F155">
        <v>1.4065803289413401</v>
      </c>
      <c r="G155">
        <v>0.59012067317962602</v>
      </c>
      <c r="H155">
        <v>1.1278395652770901</v>
      </c>
      <c r="I155">
        <v>0.557938992977142</v>
      </c>
      <c r="J155" t="str">
        <f t="shared" si="7"/>
        <v>M41T_I52Q_E55K_R109V</v>
      </c>
      <c r="K155">
        <f t="shared" si="8"/>
        <v>0.29770708084107</v>
      </c>
    </row>
    <row r="156" spans="1:11" x14ac:dyDescent="0.2">
      <c r="A156">
        <v>8087</v>
      </c>
      <c r="B156" t="s">
        <v>165</v>
      </c>
      <c r="C156" t="s">
        <v>157</v>
      </c>
      <c r="D156">
        <v>1.2676644325256301</v>
      </c>
      <c r="E156">
        <v>0.559944748878479</v>
      </c>
      <c r="F156">
        <v>1.3816739320755</v>
      </c>
      <c r="G156">
        <v>0.57847332954406705</v>
      </c>
      <c r="H156">
        <v>1.1536549329757599</v>
      </c>
      <c r="I156">
        <v>0.54141610860824496</v>
      </c>
      <c r="J156" t="str">
        <f t="shared" si="7"/>
        <v>M41T_I52Q_V74T_R109V</v>
      </c>
      <c r="K156">
        <f t="shared" si="8"/>
        <v>0.29725265502929998</v>
      </c>
    </row>
    <row r="157" spans="1:11" x14ac:dyDescent="0.2">
      <c r="A157">
        <v>8105</v>
      </c>
      <c r="B157" t="s">
        <v>166</v>
      </c>
      <c r="C157" t="s">
        <v>157</v>
      </c>
      <c r="D157">
        <v>1.2693397998809799</v>
      </c>
      <c r="E157">
        <v>0.56790596246719305</v>
      </c>
      <c r="F157">
        <v>1.38436102867126</v>
      </c>
      <c r="G157">
        <v>0.56648242473602295</v>
      </c>
      <c r="H157">
        <v>1.1543184518814</v>
      </c>
      <c r="I157">
        <v>0.56932950019836404</v>
      </c>
      <c r="J157" t="str">
        <f t="shared" si="7"/>
        <v>M41N_I52Q_R109V_E110S</v>
      </c>
      <c r="K157">
        <f t="shared" si="8"/>
        <v>0.2955772876739502</v>
      </c>
    </row>
    <row r="158" spans="1:11" x14ac:dyDescent="0.2">
      <c r="A158">
        <v>8111</v>
      </c>
      <c r="B158" t="s">
        <v>167</v>
      </c>
      <c r="C158" t="s">
        <v>157</v>
      </c>
      <c r="D158">
        <v>1.2734456062316799</v>
      </c>
      <c r="E158">
        <v>0.56824147701263406</v>
      </c>
      <c r="F158">
        <v>1.4092370271682699</v>
      </c>
      <c r="G158">
        <v>0.57787770032882602</v>
      </c>
      <c r="H158">
        <v>1.1376541852951001</v>
      </c>
      <c r="I158">
        <v>0.55860531330108598</v>
      </c>
      <c r="J158" t="str">
        <f t="shared" si="7"/>
        <v>M41T_I52Q_I66S_R109V</v>
      </c>
      <c r="K158">
        <f t="shared" si="8"/>
        <v>0.29147148132325018</v>
      </c>
    </row>
    <row r="159" spans="1:11" x14ac:dyDescent="0.2">
      <c r="A159">
        <v>8086</v>
      </c>
      <c r="B159" t="s">
        <v>168</v>
      </c>
      <c r="C159" t="s">
        <v>157</v>
      </c>
      <c r="D159">
        <v>1.27688956260681</v>
      </c>
      <c r="E159">
        <v>0.58316648006439198</v>
      </c>
      <c r="F159">
        <v>1.39221847057342</v>
      </c>
      <c r="G159">
        <v>0.61485934257507302</v>
      </c>
      <c r="H159">
        <v>1.16156065464019</v>
      </c>
      <c r="I159">
        <v>0.55147367715835505</v>
      </c>
      <c r="J159" t="str">
        <f t="shared" si="7"/>
        <v>M41T_I52Q_G89E_R109V</v>
      </c>
      <c r="K159">
        <f t="shared" si="8"/>
        <v>0.28802752494812012</v>
      </c>
    </row>
    <row r="160" spans="1:11" x14ac:dyDescent="0.2">
      <c r="A160">
        <v>8116</v>
      </c>
      <c r="B160" t="s">
        <v>169</v>
      </c>
      <c r="C160" t="s">
        <v>157</v>
      </c>
      <c r="D160">
        <v>1.2789942026138299</v>
      </c>
      <c r="E160">
        <v>0.58066385984420699</v>
      </c>
      <c r="F160">
        <v>1.39017033576965</v>
      </c>
      <c r="G160">
        <v>0.57872015237808205</v>
      </c>
      <c r="H160">
        <v>1.167818069458</v>
      </c>
      <c r="I160">
        <v>0.58260756731033303</v>
      </c>
      <c r="J160" t="str">
        <f t="shared" si="7"/>
        <v>M41N_I52Q_I66S_R109V</v>
      </c>
      <c r="K160">
        <f t="shared" si="8"/>
        <v>0.28592288494110019</v>
      </c>
    </row>
    <row r="161" spans="1:11" x14ac:dyDescent="0.2">
      <c r="A161">
        <v>8075</v>
      </c>
      <c r="B161" t="s">
        <v>170</v>
      </c>
      <c r="C161" t="s">
        <v>157</v>
      </c>
      <c r="D161">
        <v>1.2802860736846899</v>
      </c>
      <c r="E161">
        <v>0.54579484462738004</v>
      </c>
      <c r="F161">
        <v>1.33856642246246</v>
      </c>
      <c r="G161">
        <v>0.54397213459014804</v>
      </c>
      <c r="H161">
        <v>1.22200584411621</v>
      </c>
      <c r="I161">
        <v>0.54761755466461104</v>
      </c>
      <c r="J161" t="str">
        <f t="shared" si="7"/>
        <v>I52Q_I66C_V74T_R109V</v>
      </c>
      <c r="K161">
        <f t="shared" si="8"/>
        <v>0.28463101387024015</v>
      </c>
    </row>
    <row r="162" spans="1:11" x14ac:dyDescent="0.2">
      <c r="A162">
        <v>8079</v>
      </c>
      <c r="B162" t="s">
        <v>171</v>
      </c>
      <c r="C162" t="s">
        <v>157</v>
      </c>
      <c r="D162">
        <v>1.2824907302856401</v>
      </c>
      <c r="E162">
        <v>0.54983568191528298</v>
      </c>
      <c r="F162">
        <v>1.4028586149215601</v>
      </c>
      <c r="G162">
        <v>0.55034589767455999</v>
      </c>
      <c r="H162">
        <v>1.1621229648589999</v>
      </c>
      <c r="I162">
        <v>0.54932552576064997</v>
      </c>
      <c r="J162" t="str">
        <f t="shared" ref="J162:J196" si="9">_xlfn.TEXTBEFORE(_xlfn.TEXTAFTER(B162,"-")," ")</f>
        <v>I52Q_R109V_K121N_G122S</v>
      </c>
      <c r="K162">
        <f t="shared" si="8"/>
        <v>0.28242635726929</v>
      </c>
    </row>
    <row r="163" spans="1:11" x14ac:dyDescent="0.2">
      <c r="A163">
        <v>8102</v>
      </c>
      <c r="B163" t="s">
        <v>172</v>
      </c>
      <c r="C163" t="s">
        <v>157</v>
      </c>
      <c r="D163">
        <v>1.28267157077789</v>
      </c>
      <c r="E163">
        <v>0.56722545623779297</v>
      </c>
      <c r="F163">
        <v>1.39818239212036</v>
      </c>
      <c r="G163">
        <v>0.58690911531448298</v>
      </c>
      <c r="H163">
        <v>1.1671607494354199</v>
      </c>
      <c r="I163">
        <v>0.54754173755645696</v>
      </c>
      <c r="J163" t="str">
        <f t="shared" si="9"/>
        <v>M41T_I52Q_V91K_R109V</v>
      </c>
      <c r="K163">
        <f t="shared" si="8"/>
        <v>0.28224551677704013</v>
      </c>
    </row>
    <row r="164" spans="1:11" x14ac:dyDescent="0.2">
      <c r="A164">
        <v>8114</v>
      </c>
      <c r="B164" t="s">
        <v>173</v>
      </c>
      <c r="C164" t="s">
        <v>157</v>
      </c>
      <c r="D164">
        <v>1.2840204238891599</v>
      </c>
      <c r="E164">
        <v>0.57630628347396795</v>
      </c>
      <c r="F164">
        <v>1.3442451953887899</v>
      </c>
      <c r="G164">
        <v>0.58566379547119096</v>
      </c>
      <c r="H164">
        <v>1.2237956523895199</v>
      </c>
      <c r="I164">
        <v>0.56694877147674505</v>
      </c>
      <c r="J164" t="str">
        <f t="shared" si="9"/>
        <v>M41N_I52Q_I66Q_R109V</v>
      </c>
      <c r="K164">
        <f t="shared" si="8"/>
        <v>0.28089666366577015</v>
      </c>
    </row>
    <row r="165" spans="1:11" x14ac:dyDescent="0.2">
      <c r="A165">
        <v>8091</v>
      </c>
      <c r="B165" t="s">
        <v>174</v>
      </c>
      <c r="C165" t="s">
        <v>157</v>
      </c>
      <c r="D165">
        <v>1.2880327701568599</v>
      </c>
      <c r="E165">
        <v>0.55686175823211603</v>
      </c>
      <c r="F165">
        <v>1.4121161699295</v>
      </c>
      <c r="G165">
        <v>0.57239919900894098</v>
      </c>
      <c r="H165">
        <v>1.1639494895935001</v>
      </c>
      <c r="I165">
        <v>0.54132425785064697</v>
      </c>
      <c r="J165" t="str">
        <f t="shared" si="9"/>
        <v>I52Q_R109V_E117S_K121N</v>
      </c>
      <c r="K165">
        <f t="shared" si="8"/>
        <v>0.27688431739807018</v>
      </c>
    </row>
    <row r="166" spans="1:11" x14ac:dyDescent="0.2">
      <c r="A166">
        <v>8092</v>
      </c>
      <c r="B166" t="s">
        <v>175</v>
      </c>
      <c r="C166" t="s">
        <v>157</v>
      </c>
      <c r="D166">
        <v>1.2961277961730899</v>
      </c>
      <c r="E166">
        <v>0.57267677783965998</v>
      </c>
      <c r="F166">
        <v>1.4224257469177199</v>
      </c>
      <c r="G166">
        <v>0.57307368516921997</v>
      </c>
      <c r="H166">
        <v>1.1698299646377499</v>
      </c>
      <c r="I166">
        <v>0.57227987051010099</v>
      </c>
      <c r="J166" t="str">
        <f t="shared" si="9"/>
        <v>M41N_I52Q_R109V_E110L</v>
      </c>
      <c r="K166">
        <f t="shared" si="8"/>
        <v>0.26878929138184016</v>
      </c>
    </row>
    <row r="167" spans="1:11" x14ac:dyDescent="0.2">
      <c r="A167">
        <v>8113</v>
      </c>
      <c r="B167" t="s">
        <v>176</v>
      </c>
      <c r="C167" t="s">
        <v>157</v>
      </c>
      <c r="D167">
        <v>1.2997299432754501</v>
      </c>
      <c r="E167">
        <v>0.56290918588638295</v>
      </c>
      <c r="F167">
        <v>1.42410695552825</v>
      </c>
      <c r="G167">
        <v>0.56976920366287198</v>
      </c>
      <c r="H167">
        <v>1.17535293102264</v>
      </c>
      <c r="I167">
        <v>0.55604916810989302</v>
      </c>
      <c r="J167" t="str">
        <f t="shared" si="9"/>
        <v>M41T_I52Q_I66K_R109V</v>
      </c>
      <c r="K167">
        <f t="shared" si="8"/>
        <v>0.26518714427947998</v>
      </c>
    </row>
    <row r="168" spans="1:11" x14ac:dyDescent="0.2">
      <c r="A168">
        <v>8094</v>
      </c>
      <c r="B168" t="s">
        <v>177</v>
      </c>
      <c r="C168" t="s">
        <v>157</v>
      </c>
      <c r="D168">
        <v>1.30202317237854</v>
      </c>
      <c r="E168">
        <v>0.55423718690872104</v>
      </c>
      <c r="F168">
        <v>1.4085599184036199</v>
      </c>
      <c r="G168">
        <v>0.55655705928802401</v>
      </c>
      <c r="H168">
        <v>1.1954865455627399</v>
      </c>
      <c r="I168">
        <v>0.55191731452941895</v>
      </c>
      <c r="J168" t="str">
        <f t="shared" si="9"/>
        <v>I52Q_V74T_V91S_R109V</v>
      </c>
      <c r="K168">
        <f t="shared" si="8"/>
        <v>0.26289391517639005</v>
      </c>
    </row>
    <row r="169" spans="1:11" x14ac:dyDescent="0.2">
      <c r="A169">
        <v>8082</v>
      </c>
      <c r="B169" t="s">
        <v>178</v>
      </c>
      <c r="C169" t="s">
        <v>157</v>
      </c>
      <c r="D169">
        <v>1.3077523708343499</v>
      </c>
      <c r="E169">
        <v>0.52280116081237704</v>
      </c>
      <c r="F169">
        <v>1.49238848686218</v>
      </c>
      <c r="G169">
        <v>0.56089526414871205</v>
      </c>
      <c r="H169">
        <v>1.1231161355972199</v>
      </c>
      <c r="I169">
        <v>0.48470705747604298</v>
      </c>
      <c r="J169" t="str">
        <f t="shared" si="9"/>
        <v>M41T_I52Q_R109V_E110P</v>
      </c>
      <c r="K169">
        <f t="shared" si="8"/>
        <v>0.25716471672058017</v>
      </c>
    </row>
    <row r="170" spans="1:11" x14ac:dyDescent="0.2">
      <c r="A170">
        <v>8073</v>
      </c>
      <c r="B170" t="s">
        <v>179</v>
      </c>
      <c r="C170" t="s">
        <v>157</v>
      </c>
      <c r="D170">
        <v>1.3127353191375699</v>
      </c>
      <c r="E170">
        <v>0.54589188098907404</v>
      </c>
      <c r="F170">
        <v>1.46459317207336</v>
      </c>
      <c r="G170">
        <v>0.53894442319869995</v>
      </c>
      <c r="H170">
        <v>1.16087746620178</v>
      </c>
      <c r="I170">
        <v>0.55283939838409402</v>
      </c>
      <c r="J170" t="str">
        <f t="shared" si="9"/>
        <v>I52Q_I66C_R109V_K121N</v>
      </c>
      <c r="K170">
        <f t="shared" si="8"/>
        <v>0.25218176841736017</v>
      </c>
    </row>
    <row r="171" spans="1:11" x14ac:dyDescent="0.2">
      <c r="A171">
        <v>8109</v>
      </c>
      <c r="B171" t="s">
        <v>180</v>
      </c>
      <c r="C171" t="s">
        <v>157</v>
      </c>
      <c r="D171">
        <v>1.3137460947036701</v>
      </c>
      <c r="E171">
        <v>0.56314432621002197</v>
      </c>
      <c r="F171">
        <v>1.40484726428985</v>
      </c>
      <c r="G171">
        <v>0.56945300102233798</v>
      </c>
      <c r="H171">
        <v>1.22264492511749</v>
      </c>
      <c r="I171">
        <v>0.55683559179305997</v>
      </c>
      <c r="J171" t="str">
        <f t="shared" si="9"/>
        <v>M41T_N46E_I52Q_R109V</v>
      </c>
      <c r="K171">
        <f t="shared" si="8"/>
        <v>0.25117099285125999</v>
      </c>
    </row>
    <row r="172" spans="1:11" x14ac:dyDescent="0.2">
      <c r="A172">
        <v>8081</v>
      </c>
      <c r="B172" t="s">
        <v>181</v>
      </c>
      <c r="C172" t="s">
        <v>157</v>
      </c>
      <c r="D172">
        <v>1.31667375564575</v>
      </c>
      <c r="E172">
        <v>0.57780164480209295</v>
      </c>
      <c r="F172">
        <v>1.5010515451431199</v>
      </c>
      <c r="G172">
        <v>0.60509556531906095</v>
      </c>
      <c r="H172">
        <v>1.13229608535766</v>
      </c>
      <c r="I172">
        <v>0.55050772428512496</v>
      </c>
      <c r="J172" t="str">
        <f t="shared" si="9"/>
        <v>M41T_I52Q_R109V_K121G</v>
      </c>
      <c r="K172">
        <f t="shared" si="8"/>
        <v>0.24824333190918013</v>
      </c>
    </row>
    <row r="173" spans="1:11" x14ac:dyDescent="0.2">
      <c r="A173">
        <v>8104</v>
      </c>
      <c r="B173" t="s">
        <v>182</v>
      </c>
      <c r="C173" t="s">
        <v>157</v>
      </c>
      <c r="D173">
        <v>1.3172796964645299</v>
      </c>
      <c r="E173">
        <v>0.56890767812728804</v>
      </c>
      <c r="F173">
        <v>1.5346039533615099</v>
      </c>
      <c r="G173">
        <v>0.57779091596603305</v>
      </c>
      <c r="H173">
        <v>1.0999554395675599</v>
      </c>
      <c r="I173">
        <v>0.56002444028854304</v>
      </c>
      <c r="J173" t="str">
        <f t="shared" si="9"/>
        <v>I52Q_G89E_R109V_G122E</v>
      </c>
      <c r="K173">
        <f t="shared" si="8"/>
        <v>0.24763739109040017</v>
      </c>
    </row>
    <row r="174" spans="1:11" x14ac:dyDescent="0.2">
      <c r="A174">
        <v>8084</v>
      </c>
      <c r="B174" t="s">
        <v>183</v>
      </c>
      <c r="C174" t="s">
        <v>157</v>
      </c>
      <c r="D174">
        <v>1.3184950351714999</v>
      </c>
      <c r="E174">
        <v>0.56167405843734697</v>
      </c>
      <c r="F174">
        <v>1.4488126039505</v>
      </c>
      <c r="G174">
        <v>0.56181508302688599</v>
      </c>
      <c r="H174">
        <v>1.1881775856018</v>
      </c>
      <c r="I174">
        <v>0.56153303384780795</v>
      </c>
      <c r="J174" t="str">
        <f t="shared" si="9"/>
        <v>I52Q_V91S_R109V_K121N</v>
      </c>
      <c r="K174">
        <f t="shared" si="8"/>
        <v>0.24642205238343018</v>
      </c>
    </row>
    <row r="175" spans="1:11" x14ac:dyDescent="0.2">
      <c r="A175">
        <v>8089</v>
      </c>
      <c r="B175" t="s">
        <v>184</v>
      </c>
      <c r="C175" t="s">
        <v>157</v>
      </c>
      <c r="D175">
        <v>1.3185632228851301</v>
      </c>
      <c r="E175">
        <v>0.54647326469421298</v>
      </c>
      <c r="F175">
        <v>1.4369755983352599</v>
      </c>
      <c r="G175">
        <v>0.55938327312469405</v>
      </c>
      <c r="H175">
        <v>1.2001507282257</v>
      </c>
      <c r="I175">
        <v>0.53356325626373202</v>
      </c>
      <c r="J175" t="str">
        <f t="shared" si="9"/>
        <v>I52Q_V74T_R109V_K121G</v>
      </c>
      <c r="K175">
        <f t="shared" si="8"/>
        <v>0.24635386466980003</v>
      </c>
    </row>
    <row r="176" spans="1:11" x14ac:dyDescent="0.2">
      <c r="A176">
        <v>8112</v>
      </c>
      <c r="B176" t="s">
        <v>185</v>
      </c>
      <c r="C176" t="s">
        <v>157</v>
      </c>
      <c r="D176">
        <v>1.3220522403717001</v>
      </c>
      <c r="E176">
        <v>0.56592023372650102</v>
      </c>
      <c r="F176">
        <v>1.44998371601104</v>
      </c>
      <c r="G176">
        <v>0.57402861118316595</v>
      </c>
      <c r="H176">
        <v>1.19412076473236</v>
      </c>
      <c r="I176">
        <v>0.55781179666519098</v>
      </c>
      <c r="J176" t="str">
        <f t="shared" si="9"/>
        <v>M41T_I52Q_I66Q_R109V</v>
      </c>
      <c r="K176">
        <f t="shared" si="8"/>
        <v>0.24286484718322998</v>
      </c>
    </row>
    <row r="177" spans="1:11" x14ac:dyDescent="0.2">
      <c r="A177">
        <v>8083</v>
      </c>
      <c r="B177" t="s">
        <v>186</v>
      </c>
      <c r="C177" t="s">
        <v>157</v>
      </c>
      <c r="D177">
        <v>1.3251715898513701</v>
      </c>
      <c r="E177">
        <v>0.53477668762206998</v>
      </c>
      <c r="F177">
        <v>1.4527553319930999</v>
      </c>
      <c r="G177">
        <v>0.53339803218841497</v>
      </c>
      <c r="H177">
        <v>1.19758784770965</v>
      </c>
      <c r="I177">
        <v>0.53615528345107999</v>
      </c>
      <c r="J177" t="str">
        <f t="shared" si="9"/>
        <v>I52Q_V74T_R109V_E110S</v>
      </c>
      <c r="K177">
        <f t="shared" si="8"/>
        <v>0.23974549770356002</v>
      </c>
    </row>
    <row r="178" spans="1:11" x14ac:dyDescent="0.2">
      <c r="A178">
        <v>8085</v>
      </c>
      <c r="B178" t="s">
        <v>187</v>
      </c>
      <c r="C178" t="s">
        <v>157</v>
      </c>
      <c r="D178">
        <v>1.32638263702392</v>
      </c>
      <c r="E178">
        <v>0.56218731403350797</v>
      </c>
      <c r="F178">
        <v>1.5306705236434901</v>
      </c>
      <c r="G178">
        <v>0.56598901748657204</v>
      </c>
      <c r="H178">
        <v>1.1220946311950599</v>
      </c>
      <c r="I178">
        <v>0.558385610580444</v>
      </c>
      <c r="J178" t="str">
        <f t="shared" si="9"/>
        <v>M41T_I52Q_R109V_G122E</v>
      </c>
      <c r="K178">
        <f t="shared" si="8"/>
        <v>0.23853445053101008</v>
      </c>
    </row>
    <row r="179" spans="1:11" x14ac:dyDescent="0.2">
      <c r="A179">
        <v>8101</v>
      </c>
      <c r="B179" t="s">
        <v>188</v>
      </c>
      <c r="C179" t="s">
        <v>157</v>
      </c>
      <c r="D179">
        <v>1.32823657989501</v>
      </c>
      <c r="E179">
        <v>0.555100798606872</v>
      </c>
      <c r="F179">
        <v>1.48519170284271</v>
      </c>
      <c r="G179">
        <v>0.54569154977798395</v>
      </c>
      <c r="H179">
        <v>1.17128133773803</v>
      </c>
      <c r="I179">
        <v>0.56451004743576005</v>
      </c>
      <c r="J179" t="str">
        <f t="shared" si="9"/>
        <v>I52Q_R109V_K121G_G122E</v>
      </c>
      <c r="K179">
        <f t="shared" si="8"/>
        <v>0.2366805076599201</v>
      </c>
    </row>
    <row r="180" spans="1:11" x14ac:dyDescent="0.2">
      <c r="A180">
        <v>8117</v>
      </c>
      <c r="B180" t="s">
        <v>189</v>
      </c>
      <c r="C180" t="s">
        <v>157</v>
      </c>
      <c r="D180">
        <v>1.32899034023284</v>
      </c>
      <c r="E180">
        <v>0.53092336654662997</v>
      </c>
      <c r="F180">
        <v>1.36822605133056</v>
      </c>
      <c r="G180">
        <v>0.53832191228866499</v>
      </c>
      <c r="H180">
        <v>1.2897546291351301</v>
      </c>
      <c r="I180">
        <v>0.52352482080459595</v>
      </c>
      <c r="J180" t="str">
        <f t="shared" si="9"/>
        <v>I52Q_I66Q_V74T_R109V</v>
      </c>
      <c r="K180">
        <f t="shared" si="8"/>
        <v>0.23592674732209007</v>
      </c>
    </row>
    <row r="181" spans="1:11" x14ac:dyDescent="0.2">
      <c r="A181">
        <v>8098</v>
      </c>
      <c r="B181" t="s">
        <v>190</v>
      </c>
      <c r="C181" t="s">
        <v>157</v>
      </c>
      <c r="D181">
        <v>1.3354144096374501</v>
      </c>
      <c r="E181">
        <v>0.53257757425308205</v>
      </c>
      <c r="F181">
        <v>1.4774906635284399</v>
      </c>
      <c r="G181">
        <v>0.53551119565963701</v>
      </c>
      <c r="H181">
        <v>1.19333803653717</v>
      </c>
      <c r="I181">
        <v>0.52964395284652699</v>
      </c>
      <c r="J181" t="str">
        <f t="shared" si="9"/>
        <v>N40T_I52Q_V74T_R109V</v>
      </c>
      <c r="K181">
        <f t="shared" si="8"/>
        <v>0.22950267791748002</v>
      </c>
    </row>
    <row r="182" spans="1:11" x14ac:dyDescent="0.2">
      <c r="A182">
        <v>8097</v>
      </c>
      <c r="B182" t="s">
        <v>191</v>
      </c>
      <c r="C182" t="s">
        <v>157</v>
      </c>
      <c r="D182">
        <v>1.3409348726272501</v>
      </c>
      <c r="E182">
        <v>0.55308568477630604</v>
      </c>
      <c r="F182">
        <v>1.47096371650695</v>
      </c>
      <c r="G182">
        <v>0.56615418195724398</v>
      </c>
      <c r="H182">
        <v>1.2109060287475499</v>
      </c>
      <c r="I182">
        <v>0.54001712799072199</v>
      </c>
      <c r="J182" t="str">
        <f t="shared" si="9"/>
        <v>I52Q_V74T_R109V_K121N</v>
      </c>
      <c r="K182">
        <f t="shared" si="8"/>
        <v>0.22398221492768</v>
      </c>
    </row>
    <row r="183" spans="1:11" x14ac:dyDescent="0.2">
      <c r="A183">
        <v>8108</v>
      </c>
      <c r="B183" t="s">
        <v>192</v>
      </c>
      <c r="C183" t="s">
        <v>157</v>
      </c>
      <c r="D183">
        <v>1.34293484687805</v>
      </c>
      <c r="E183">
        <v>0.53853988647460904</v>
      </c>
      <c r="F183">
        <v>1.4414484500885001</v>
      </c>
      <c r="G183">
        <v>0.53849166631698597</v>
      </c>
      <c r="H183">
        <v>1.2444211244583101</v>
      </c>
      <c r="I183">
        <v>0.538588106632232</v>
      </c>
      <c r="J183" t="str">
        <f t="shared" si="9"/>
        <v>I52Q_I66S_V74T_R109V</v>
      </c>
      <c r="K183">
        <f t="shared" si="8"/>
        <v>0.2219822406768801</v>
      </c>
    </row>
    <row r="184" spans="1:11" x14ac:dyDescent="0.2">
      <c r="A184">
        <v>8095</v>
      </c>
      <c r="B184" t="s">
        <v>193</v>
      </c>
      <c r="C184" t="s">
        <v>157</v>
      </c>
      <c r="D184">
        <v>1.34822249412536</v>
      </c>
      <c r="E184">
        <v>0.57893085479736295</v>
      </c>
      <c r="F184">
        <v>1.5547119379043499</v>
      </c>
      <c r="G184">
        <v>0.58678579330444303</v>
      </c>
      <c r="H184">
        <v>1.1417330503463701</v>
      </c>
      <c r="I184">
        <v>0.57107591629028298</v>
      </c>
      <c r="J184" t="str">
        <f t="shared" si="9"/>
        <v>M41T_I52Q_R109V_G122D</v>
      </c>
      <c r="K184">
        <f t="shared" si="8"/>
        <v>0.21669459342957009</v>
      </c>
    </row>
    <row r="185" spans="1:11" x14ac:dyDescent="0.2">
      <c r="A185">
        <v>8119</v>
      </c>
      <c r="B185" t="s">
        <v>194</v>
      </c>
      <c r="C185" t="s">
        <v>157</v>
      </c>
      <c r="D185">
        <v>1.3537857532501201</v>
      </c>
      <c r="E185">
        <v>0.54079055786132801</v>
      </c>
      <c r="F185">
        <v>1.53128850460052</v>
      </c>
      <c r="G185">
        <v>0.53108549118041903</v>
      </c>
      <c r="H185">
        <v>1.1762831211089999</v>
      </c>
      <c r="I185">
        <v>0.550495564937591</v>
      </c>
      <c r="J185" t="str">
        <f t="shared" si="9"/>
        <v>I52Q_I66K_R109V_G122E</v>
      </c>
      <c r="K185">
        <f t="shared" si="8"/>
        <v>0.21113133430481001</v>
      </c>
    </row>
    <row r="186" spans="1:11" x14ac:dyDescent="0.2">
      <c r="A186">
        <v>8099</v>
      </c>
      <c r="B186" t="s">
        <v>195</v>
      </c>
      <c r="C186" t="s">
        <v>157</v>
      </c>
      <c r="D186">
        <v>1.35487520694732</v>
      </c>
      <c r="E186">
        <v>0.54812610149383501</v>
      </c>
      <c r="F186">
        <v>1.51561367511749</v>
      </c>
      <c r="G186">
        <v>0.54524886608123702</v>
      </c>
      <c r="H186">
        <v>1.19413673877716</v>
      </c>
      <c r="I186">
        <v>0.55100333690643299</v>
      </c>
      <c r="J186" t="str">
        <f t="shared" si="9"/>
        <v>I52Q_V74T_R109V_G122D</v>
      </c>
      <c r="K186">
        <f t="shared" si="8"/>
        <v>0.21004188060761009</v>
      </c>
    </row>
    <row r="187" spans="1:11" x14ac:dyDescent="0.2">
      <c r="A187">
        <v>8110</v>
      </c>
      <c r="B187" t="s">
        <v>196</v>
      </c>
      <c r="C187" t="s">
        <v>157</v>
      </c>
      <c r="D187">
        <v>1.3550910949707</v>
      </c>
      <c r="E187">
        <v>0.57546627521514804</v>
      </c>
      <c r="F187">
        <v>1.54538202285766</v>
      </c>
      <c r="G187">
        <v>0.57804423570632901</v>
      </c>
      <c r="H187">
        <v>1.16480016708374</v>
      </c>
      <c r="I187">
        <v>0.57288831472396795</v>
      </c>
      <c r="J187" t="str">
        <f t="shared" si="9"/>
        <v>M41N_I52Q_I66N_R109V</v>
      </c>
      <c r="K187">
        <f t="shared" si="8"/>
        <v>0.20982599258423007</v>
      </c>
    </row>
    <row r="188" spans="1:11" x14ac:dyDescent="0.2">
      <c r="A188">
        <v>8072</v>
      </c>
      <c r="B188" t="s">
        <v>197</v>
      </c>
      <c r="C188" t="s">
        <v>157</v>
      </c>
      <c r="D188">
        <v>1.3596112728118801</v>
      </c>
      <c r="E188">
        <v>0.56701898574829102</v>
      </c>
      <c r="F188">
        <v>1.5414389371871899</v>
      </c>
      <c r="G188">
        <v>0.545732021331787</v>
      </c>
      <c r="H188">
        <v>1.17778348922729</v>
      </c>
      <c r="I188">
        <v>0.58830595016479403</v>
      </c>
      <c r="J188" t="str">
        <f t="shared" si="9"/>
        <v>M41N_I52Q_I66C_R109V</v>
      </c>
      <c r="K188">
        <f t="shared" si="8"/>
        <v>0.20530581474304999</v>
      </c>
    </row>
    <row r="189" spans="1:11" x14ac:dyDescent="0.2">
      <c r="A189">
        <v>8107</v>
      </c>
      <c r="B189" t="s">
        <v>198</v>
      </c>
      <c r="C189" t="s">
        <v>157</v>
      </c>
      <c r="D189">
        <v>1.3634519577026301</v>
      </c>
      <c r="E189">
        <v>0.549813091754913</v>
      </c>
      <c r="F189">
        <v>1.5663038492202701</v>
      </c>
      <c r="G189">
        <v>0.53356045484542802</v>
      </c>
      <c r="H189">
        <v>1.16060018539428</v>
      </c>
      <c r="I189">
        <v>0.56606572866439797</v>
      </c>
      <c r="J189" t="str">
        <f t="shared" si="9"/>
        <v>I52Q_I66S_R109V_G122E</v>
      </c>
      <c r="K189">
        <f t="shared" si="8"/>
        <v>0.20146512985230003</v>
      </c>
    </row>
    <row r="190" spans="1:11" x14ac:dyDescent="0.2">
      <c r="A190">
        <v>8093</v>
      </c>
      <c r="B190" t="s">
        <v>199</v>
      </c>
      <c r="C190" t="s">
        <v>157</v>
      </c>
      <c r="D190">
        <v>1.3716791868209799</v>
      </c>
      <c r="E190">
        <v>0.55569362640380804</v>
      </c>
      <c r="F190">
        <v>1.5291322469711299</v>
      </c>
      <c r="G190">
        <v>0.56512379646301203</v>
      </c>
      <c r="H190">
        <v>1.2142261266708301</v>
      </c>
      <c r="I190">
        <v>0.54626339673995905</v>
      </c>
      <c r="J190" t="str">
        <f t="shared" si="9"/>
        <v>M41S_I52Q_V74T_R109V</v>
      </c>
      <c r="K190">
        <f t="shared" si="8"/>
        <v>0.1932379007339502</v>
      </c>
    </row>
    <row r="191" spans="1:11" x14ac:dyDescent="0.2">
      <c r="A191">
        <v>8078</v>
      </c>
      <c r="B191" t="s">
        <v>200</v>
      </c>
      <c r="C191" t="s">
        <v>157</v>
      </c>
      <c r="D191">
        <v>1.3730816841125399</v>
      </c>
      <c r="E191">
        <v>0.52101767063140803</v>
      </c>
      <c r="F191">
        <v>1.4549030065536499</v>
      </c>
      <c r="G191">
        <v>0.52510160207748402</v>
      </c>
      <c r="H191">
        <v>1.29126048088073</v>
      </c>
      <c r="I191">
        <v>0.51693373918533303</v>
      </c>
      <c r="J191" t="str">
        <f t="shared" si="9"/>
        <v>I52Q_V74T_R109V_D112C</v>
      </c>
      <c r="K191">
        <f t="shared" si="8"/>
        <v>0.19183540344239014</v>
      </c>
    </row>
    <row r="192" spans="1:11" x14ac:dyDescent="0.2">
      <c r="A192">
        <v>8080</v>
      </c>
      <c r="B192" t="s">
        <v>201</v>
      </c>
      <c r="C192" t="s">
        <v>157</v>
      </c>
      <c r="D192">
        <v>1.3806799650192201</v>
      </c>
      <c r="E192">
        <v>0.53363543748855502</v>
      </c>
      <c r="F192">
        <v>1.6003894805908201</v>
      </c>
      <c r="G192">
        <v>0.53306770324706998</v>
      </c>
      <c r="H192">
        <v>1.1609704494476301</v>
      </c>
      <c r="I192">
        <v>0.53420317173004095</v>
      </c>
      <c r="J192" t="str">
        <f t="shared" si="9"/>
        <v>I52Q_R109V_E110S_K121N</v>
      </c>
      <c r="K192">
        <f t="shared" si="8"/>
        <v>0.18423712253571001</v>
      </c>
    </row>
    <row r="193" spans="1:11" x14ac:dyDescent="0.2">
      <c r="A193">
        <v>8071</v>
      </c>
      <c r="B193" t="s">
        <v>202</v>
      </c>
      <c r="C193" t="s">
        <v>157</v>
      </c>
      <c r="D193">
        <v>1.39160680770874</v>
      </c>
      <c r="E193">
        <v>0.53127419948577803</v>
      </c>
      <c r="F193">
        <v>1.5035151243209799</v>
      </c>
      <c r="G193">
        <v>0.53368139266967696</v>
      </c>
      <c r="H193">
        <v>1.2796984910964899</v>
      </c>
      <c r="I193">
        <v>0.528866946697235</v>
      </c>
      <c r="J193" t="str">
        <f t="shared" si="9"/>
        <v>I52Q_R109V_D112C_K121N</v>
      </c>
      <c r="K193">
        <f t="shared" si="8"/>
        <v>0.17331027984619007</v>
      </c>
    </row>
    <row r="194" spans="1:11" x14ac:dyDescent="0.2">
      <c r="A194">
        <v>8100</v>
      </c>
      <c r="B194" t="s">
        <v>203</v>
      </c>
      <c r="C194" t="s">
        <v>157</v>
      </c>
      <c r="D194">
        <v>1.3976793289184499</v>
      </c>
      <c r="E194">
        <v>0.53333717584609897</v>
      </c>
      <c r="F194">
        <v>1.53962838649749</v>
      </c>
      <c r="G194">
        <v>0.53117275238037098</v>
      </c>
      <c r="H194">
        <v>1.2557301521301201</v>
      </c>
      <c r="I194">
        <v>0.53550159931182795</v>
      </c>
      <c r="J194" t="str">
        <f t="shared" si="9"/>
        <v>I52Q_V74T_R109V_E110L</v>
      </c>
      <c r="K194">
        <f t="shared" si="8"/>
        <v>0.16723775863648016</v>
      </c>
    </row>
    <row r="195" spans="1:11" x14ac:dyDescent="0.2">
      <c r="A195">
        <v>8120</v>
      </c>
      <c r="B195" t="s">
        <v>204</v>
      </c>
      <c r="C195" t="s">
        <v>157</v>
      </c>
      <c r="D195">
        <v>1.40132236480712</v>
      </c>
      <c r="E195">
        <v>0.542483329772949</v>
      </c>
      <c r="F195">
        <v>1.5545344352722099</v>
      </c>
      <c r="G195">
        <v>0.54644501209259</v>
      </c>
      <c r="H195">
        <v>1.2481102943420399</v>
      </c>
      <c r="I195">
        <v>0.53852170705795199</v>
      </c>
      <c r="J195" t="str">
        <f t="shared" si="9"/>
        <v>N46E_I52Q_R109V_K121N</v>
      </c>
      <c r="K195">
        <f t="shared" ref="K195:K246" si="10">$D$2-D195</f>
        <v>0.16359472274781006</v>
      </c>
    </row>
    <row r="196" spans="1:11" x14ac:dyDescent="0.2">
      <c r="A196">
        <v>8115</v>
      </c>
      <c r="B196" t="s">
        <v>205</v>
      </c>
      <c r="C196" t="s">
        <v>157</v>
      </c>
      <c r="D196">
        <v>1.4274425506591699</v>
      </c>
      <c r="E196">
        <v>0.52729910612106301</v>
      </c>
      <c r="F196">
        <v>1.5779181718826201</v>
      </c>
      <c r="G196">
        <v>0.52734887599945002</v>
      </c>
      <c r="H196">
        <v>1.27696681022644</v>
      </c>
      <c r="I196">
        <v>0.527249336242675</v>
      </c>
      <c r="J196" t="str">
        <f t="shared" si="9"/>
        <v>I52Q_I66K_V74T_R109V</v>
      </c>
      <c r="K196">
        <f t="shared" si="10"/>
        <v>0.13747453689576017</v>
      </c>
    </row>
    <row r="197" spans="1:11" x14ac:dyDescent="0.2">
      <c r="A197">
        <v>8170</v>
      </c>
      <c r="B197" t="s">
        <v>207</v>
      </c>
      <c r="C197" t="s">
        <v>208</v>
      </c>
      <c r="D197">
        <v>1.3195269107818599</v>
      </c>
      <c r="E197">
        <v>0.58268105983734098</v>
      </c>
      <c r="F197">
        <v>1.4532486200332599</v>
      </c>
      <c r="G197">
        <v>0.59217786788940396</v>
      </c>
      <c r="H197">
        <v>1.1858053207397401</v>
      </c>
      <c r="I197">
        <v>0.57318431138992298</v>
      </c>
      <c r="J197" t="str">
        <f t="shared" ref="J197:J246" si="11">_xlfn.TEXTBEFORE(_xlfn.TEXTAFTER(B197,"-")," ")</f>
        <v>M41N_I52Q_E55K_I66K_R109V</v>
      </c>
      <c r="K197">
        <f t="shared" si="10"/>
        <v>0.24539017677307018</v>
      </c>
    </row>
    <row r="198" spans="1:11" x14ac:dyDescent="0.2">
      <c r="A198">
        <v>8169</v>
      </c>
      <c r="B198" t="s">
        <v>209</v>
      </c>
      <c r="C198" t="s">
        <v>208</v>
      </c>
      <c r="D198">
        <v>1.2057850360870299</v>
      </c>
      <c r="E198">
        <v>0.63186705112457198</v>
      </c>
      <c r="F198">
        <v>1.3095409870147701</v>
      </c>
      <c r="G198">
        <v>0.604686498641967</v>
      </c>
      <c r="H198">
        <v>1.1020290851593</v>
      </c>
      <c r="I198">
        <v>0.65904760360717696</v>
      </c>
      <c r="J198" t="str">
        <f t="shared" si="11"/>
        <v>M41R_I52Q_I66C_R109V_V116A</v>
      </c>
      <c r="K198">
        <f t="shared" si="10"/>
        <v>0.35913205146790017</v>
      </c>
    </row>
    <row r="199" spans="1:11" x14ac:dyDescent="0.2">
      <c r="A199">
        <v>8168</v>
      </c>
      <c r="B199" t="s">
        <v>210</v>
      </c>
      <c r="C199" t="s">
        <v>208</v>
      </c>
      <c r="D199">
        <v>1.3708038330078101</v>
      </c>
      <c r="E199">
        <v>0.57654547691345204</v>
      </c>
      <c r="F199">
        <v>1.5507628917694001</v>
      </c>
      <c r="G199">
        <v>0.57278364896774203</v>
      </c>
      <c r="H199">
        <v>1.1908448934555</v>
      </c>
      <c r="I199">
        <v>0.58030730485916104</v>
      </c>
      <c r="J199" t="str">
        <f t="shared" si="11"/>
        <v>M41N_I52Q_E62H_I66K_R109V</v>
      </c>
      <c r="K199">
        <f t="shared" si="10"/>
        <v>0.19411325454712003</v>
      </c>
    </row>
    <row r="200" spans="1:11" x14ac:dyDescent="0.2">
      <c r="A200">
        <v>8167</v>
      </c>
      <c r="B200" t="s">
        <v>211</v>
      </c>
      <c r="C200" t="s">
        <v>208</v>
      </c>
      <c r="D200">
        <v>1.2450687885284399</v>
      </c>
      <c r="E200">
        <v>0.55240082740783603</v>
      </c>
      <c r="F200">
        <v>1.29177141189575</v>
      </c>
      <c r="G200">
        <v>0.52640724182128895</v>
      </c>
      <c r="H200">
        <v>1.1983660459518399</v>
      </c>
      <c r="I200">
        <v>0.57839435338973999</v>
      </c>
      <c r="J200" t="str">
        <f t="shared" si="11"/>
        <v>I52Q_I66C_G89E_R109V_V116A</v>
      </c>
      <c r="K200">
        <f t="shared" si="10"/>
        <v>0.31984829902649015</v>
      </c>
    </row>
    <row r="201" spans="1:11" x14ac:dyDescent="0.2">
      <c r="A201">
        <v>8166</v>
      </c>
      <c r="B201" t="s">
        <v>212</v>
      </c>
      <c r="C201" t="s">
        <v>208</v>
      </c>
      <c r="D201">
        <v>1.3075373172760001</v>
      </c>
      <c r="E201">
        <v>0.58020985126495295</v>
      </c>
      <c r="F201">
        <v>1.4104875326156601</v>
      </c>
      <c r="G201">
        <v>0.58537191152572599</v>
      </c>
      <c r="H201">
        <v>1.2045871019363401</v>
      </c>
      <c r="I201">
        <v>0.57504779100418002</v>
      </c>
      <c r="J201" t="str">
        <f t="shared" si="11"/>
        <v>M41N_I52Q_I66K_R109V_E117S</v>
      </c>
      <c r="K201">
        <f t="shared" si="10"/>
        <v>0.25737977027893</v>
      </c>
    </row>
    <row r="202" spans="1:11" x14ac:dyDescent="0.2">
      <c r="A202">
        <v>8165</v>
      </c>
      <c r="B202" t="s">
        <v>213</v>
      </c>
      <c r="C202" t="s">
        <v>208</v>
      </c>
      <c r="D202">
        <v>1.2970095872878999</v>
      </c>
      <c r="E202">
        <v>0.56915950775146396</v>
      </c>
      <c r="F202">
        <v>1.4101790189743</v>
      </c>
      <c r="G202">
        <v>0.55251097679138095</v>
      </c>
      <c r="H202">
        <v>1.1838401556014999</v>
      </c>
      <c r="I202">
        <v>0.58580797910690297</v>
      </c>
      <c r="J202" t="str">
        <f t="shared" si="11"/>
        <v>I52Q_I66C_R109V_V116A_E117S</v>
      </c>
      <c r="K202">
        <f t="shared" si="10"/>
        <v>0.26790750026703014</v>
      </c>
    </row>
    <row r="203" spans="1:11" x14ac:dyDescent="0.2">
      <c r="A203">
        <v>8164</v>
      </c>
      <c r="B203" t="s">
        <v>214</v>
      </c>
      <c r="C203" t="s">
        <v>208</v>
      </c>
      <c r="D203">
        <v>1.2852591276168801</v>
      </c>
      <c r="E203">
        <v>0.58465087413787797</v>
      </c>
      <c r="F203">
        <v>1.3926419019698999</v>
      </c>
      <c r="G203">
        <v>0.59598624706268299</v>
      </c>
      <c r="H203">
        <v>1.1778763532638501</v>
      </c>
      <c r="I203">
        <v>0.57331556081771795</v>
      </c>
      <c r="J203" t="str">
        <f t="shared" si="11"/>
        <v>M41N_I52Q_I66K_R109V_E117C</v>
      </c>
      <c r="K203">
        <f t="shared" si="10"/>
        <v>0.27965795993804998</v>
      </c>
    </row>
    <row r="204" spans="1:11" x14ac:dyDescent="0.2">
      <c r="A204">
        <v>8163</v>
      </c>
      <c r="B204" t="s">
        <v>215</v>
      </c>
      <c r="C204" t="s">
        <v>208</v>
      </c>
      <c r="D204">
        <v>1.28864550590515</v>
      </c>
      <c r="E204">
        <v>0.55087721347808805</v>
      </c>
      <c r="F204">
        <v>1.3440788984298699</v>
      </c>
      <c r="G204">
        <v>0.53060305118560702</v>
      </c>
      <c r="H204">
        <v>1.2332122325897199</v>
      </c>
      <c r="I204">
        <v>0.57115137577056796</v>
      </c>
      <c r="J204" t="str">
        <f t="shared" si="11"/>
        <v>I52Q_I66C_V91K_R109V_V116A</v>
      </c>
      <c r="K204">
        <f t="shared" si="10"/>
        <v>0.27627158164978005</v>
      </c>
    </row>
    <row r="205" spans="1:11" x14ac:dyDescent="0.2">
      <c r="A205">
        <v>8162</v>
      </c>
      <c r="B205" t="s">
        <v>216</v>
      </c>
      <c r="C205" t="s">
        <v>208</v>
      </c>
      <c r="D205">
        <v>1.3275855779647801</v>
      </c>
      <c r="E205">
        <v>0.57429039478302002</v>
      </c>
      <c r="F205">
        <v>1.42526578903198</v>
      </c>
      <c r="G205">
        <v>0.58893239498138406</v>
      </c>
      <c r="H205">
        <v>1.2299053668975799</v>
      </c>
      <c r="I205">
        <v>0.55964839458465498</v>
      </c>
      <c r="J205" t="str">
        <f t="shared" si="11"/>
        <v>M41N_V49C_I52Q_V74T_R109V</v>
      </c>
      <c r="K205">
        <f t="shared" si="10"/>
        <v>0.23733150959015004</v>
      </c>
    </row>
    <row r="206" spans="1:11" x14ac:dyDescent="0.2">
      <c r="A206">
        <v>8161</v>
      </c>
      <c r="B206" t="s">
        <v>217</v>
      </c>
      <c r="C206" t="s">
        <v>208</v>
      </c>
      <c r="D206">
        <v>1.31820368766784</v>
      </c>
      <c r="E206">
        <v>0.57379066944122303</v>
      </c>
      <c r="F206">
        <v>1.4477072954177801</v>
      </c>
      <c r="G206">
        <v>0.55574715137481601</v>
      </c>
      <c r="H206">
        <v>1.1887000799178999</v>
      </c>
      <c r="I206">
        <v>0.59183412790298395</v>
      </c>
      <c r="J206" t="str">
        <f t="shared" si="11"/>
        <v>M41N_I52Q_E62C_I66K_R109V</v>
      </c>
      <c r="K206">
        <f t="shared" si="10"/>
        <v>0.24671339988709007</v>
      </c>
    </row>
    <row r="207" spans="1:11" x14ac:dyDescent="0.2">
      <c r="A207">
        <v>8160</v>
      </c>
      <c r="B207" t="s">
        <v>218</v>
      </c>
      <c r="C207" t="s">
        <v>208</v>
      </c>
      <c r="D207">
        <v>1.25084948539733</v>
      </c>
      <c r="E207">
        <v>0.57484543323516801</v>
      </c>
      <c r="F207">
        <v>1.3846694231033301</v>
      </c>
      <c r="G207">
        <v>0.58611243963241499</v>
      </c>
      <c r="H207">
        <v>1.1170294284820499</v>
      </c>
      <c r="I207">
        <v>0.56357842683792103</v>
      </c>
      <c r="J207" t="str">
        <f t="shared" si="11"/>
        <v>M41T_I52Q_E55K_R109V_E110C</v>
      </c>
      <c r="K207">
        <f t="shared" si="10"/>
        <v>0.3140676021576001</v>
      </c>
    </row>
    <row r="208" spans="1:11" x14ac:dyDescent="0.2">
      <c r="A208">
        <v>8159</v>
      </c>
      <c r="B208" t="s">
        <v>219</v>
      </c>
      <c r="C208" t="s">
        <v>208</v>
      </c>
      <c r="D208">
        <v>1.3388242721557599</v>
      </c>
      <c r="E208">
        <v>0.573220074176788</v>
      </c>
      <c r="F208">
        <v>1.4637928009033201</v>
      </c>
      <c r="G208">
        <v>0.582300245761871</v>
      </c>
      <c r="H208">
        <v>1.21385586261749</v>
      </c>
      <c r="I208">
        <v>0.56413990259170499</v>
      </c>
      <c r="J208" t="str">
        <f t="shared" si="11"/>
        <v>M41T_I52Q_E62K_I66C_R109V</v>
      </c>
      <c r="K208">
        <f t="shared" si="10"/>
        <v>0.22609281539917014</v>
      </c>
    </row>
    <row r="209" spans="1:11" x14ac:dyDescent="0.2">
      <c r="A209">
        <v>8158</v>
      </c>
      <c r="B209" t="s">
        <v>220</v>
      </c>
      <c r="C209" t="s">
        <v>208</v>
      </c>
      <c r="D209">
        <v>1.3051871061325</v>
      </c>
      <c r="E209">
        <v>0.53221416473388605</v>
      </c>
      <c r="F209">
        <v>1.4296681880950901</v>
      </c>
      <c r="G209">
        <v>0.55392301082610995</v>
      </c>
      <c r="H209">
        <v>1.1807060241699201</v>
      </c>
      <c r="I209">
        <v>0.51050531864166204</v>
      </c>
      <c r="J209" t="str">
        <f t="shared" si="11"/>
        <v>E15K_M41T_I52Q_E55K_R109V</v>
      </c>
      <c r="K209">
        <f t="shared" si="10"/>
        <v>0.25972998142243009</v>
      </c>
    </row>
    <row r="210" spans="1:11" x14ac:dyDescent="0.2">
      <c r="A210">
        <v>8157</v>
      </c>
      <c r="B210" t="s">
        <v>221</v>
      </c>
      <c r="C210" t="s">
        <v>208</v>
      </c>
      <c r="D210">
        <v>1.26787161827087</v>
      </c>
      <c r="E210">
        <v>0.58961951732635498</v>
      </c>
      <c r="F210">
        <v>1.41334044933319</v>
      </c>
      <c r="G210">
        <v>0.59474760293960505</v>
      </c>
      <c r="H210">
        <v>1.12240290641784</v>
      </c>
      <c r="I210">
        <v>0.58449149131774902</v>
      </c>
      <c r="J210" t="str">
        <f t="shared" si="11"/>
        <v>M41T_I52Q_E55K_V91S_R109V</v>
      </c>
      <c r="K210">
        <f t="shared" si="10"/>
        <v>0.29704546928406006</v>
      </c>
    </row>
    <row r="211" spans="1:11" x14ac:dyDescent="0.2">
      <c r="A211">
        <v>8156</v>
      </c>
      <c r="B211" t="s">
        <v>222</v>
      </c>
      <c r="C211" t="s">
        <v>208</v>
      </c>
      <c r="D211">
        <v>1.32777500152587</v>
      </c>
      <c r="E211">
        <v>0.56589424610137895</v>
      </c>
      <c r="F211">
        <v>1.4646095037460301</v>
      </c>
      <c r="G211">
        <v>0.58488923311233498</v>
      </c>
      <c r="H211">
        <v>1.19094038009643</v>
      </c>
      <c r="I211">
        <v>0.54689919948577803</v>
      </c>
      <c r="J211" t="str">
        <f t="shared" si="11"/>
        <v>M41T_V45K_I52Q_E55K_R109V</v>
      </c>
      <c r="K211">
        <f t="shared" si="10"/>
        <v>0.23714208602906006</v>
      </c>
    </row>
    <row r="212" spans="1:11" x14ac:dyDescent="0.2">
      <c r="A212">
        <v>8155</v>
      </c>
      <c r="B212" t="s">
        <v>223</v>
      </c>
      <c r="C212" t="s">
        <v>208</v>
      </c>
      <c r="D212">
        <v>1.4131329059600799</v>
      </c>
      <c r="E212">
        <v>0.55991804599761896</v>
      </c>
      <c r="F212">
        <v>1.6183934211730899</v>
      </c>
      <c r="G212">
        <v>0.58786326646804798</v>
      </c>
      <c r="H212">
        <v>1.2078723907470701</v>
      </c>
      <c r="I212">
        <v>0.53197288513183505</v>
      </c>
      <c r="J212" t="str">
        <f t="shared" si="11"/>
        <v>M41T_V45Q_I52Q_E55K_R109V</v>
      </c>
      <c r="K212">
        <f t="shared" si="10"/>
        <v>0.15178418159485019</v>
      </c>
    </row>
    <row r="213" spans="1:11" x14ac:dyDescent="0.2">
      <c r="A213">
        <v>8154</v>
      </c>
      <c r="B213" t="s">
        <v>224</v>
      </c>
      <c r="C213" t="s">
        <v>208</v>
      </c>
      <c r="D213">
        <v>1.2684785127639699</v>
      </c>
      <c r="E213">
        <v>0.59802395105361905</v>
      </c>
      <c r="F213">
        <v>1.42796099185943</v>
      </c>
      <c r="G213">
        <v>0.63021463155746404</v>
      </c>
      <c r="H213">
        <v>1.1089960336685101</v>
      </c>
      <c r="I213">
        <v>0.56583327054977395</v>
      </c>
      <c r="J213" t="str">
        <f t="shared" si="11"/>
        <v>M41T_I52Q_E55K_R109V_E117S</v>
      </c>
      <c r="K213">
        <f t="shared" si="10"/>
        <v>0.29643857479096014</v>
      </c>
    </row>
    <row r="214" spans="1:11" x14ac:dyDescent="0.2">
      <c r="A214">
        <v>8153</v>
      </c>
      <c r="B214" t="s">
        <v>225</v>
      </c>
      <c r="C214" t="s">
        <v>208</v>
      </c>
      <c r="D214">
        <v>1.2712380886077801</v>
      </c>
      <c r="E214">
        <v>0.55899238586425704</v>
      </c>
      <c r="F214">
        <v>1.3749014139175399</v>
      </c>
      <c r="G214">
        <v>0.57564288377761796</v>
      </c>
      <c r="H214">
        <v>1.16757464408874</v>
      </c>
      <c r="I214">
        <v>0.542341828346252</v>
      </c>
      <c r="J214" t="str">
        <f t="shared" si="11"/>
        <v>M41T_I52Q_E55K_V91K_R109V</v>
      </c>
      <c r="K214">
        <f t="shared" si="10"/>
        <v>0.29367899894714999</v>
      </c>
    </row>
    <row r="215" spans="1:11" x14ac:dyDescent="0.2">
      <c r="A215">
        <v>8152</v>
      </c>
      <c r="B215" t="s">
        <v>226</v>
      </c>
      <c r="C215" t="s">
        <v>208</v>
      </c>
      <c r="D215">
        <v>1.2418894767761199</v>
      </c>
      <c r="E215">
        <v>0.58309698104858398</v>
      </c>
      <c r="F215">
        <v>1.39093518257141</v>
      </c>
      <c r="G215">
        <v>0.60084778070449796</v>
      </c>
      <c r="H215">
        <v>1.0928437709808301</v>
      </c>
      <c r="I215">
        <v>0.56534612178802401</v>
      </c>
      <c r="J215" t="str">
        <f t="shared" si="11"/>
        <v>M41T_I52Q_E55K_R109V_E117T</v>
      </c>
      <c r="K215">
        <f t="shared" si="10"/>
        <v>0.32302761077881015</v>
      </c>
    </row>
    <row r="216" spans="1:11" x14ac:dyDescent="0.2">
      <c r="A216">
        <v>8151</v>
      </c>
      <c r="B216" t="s">
        <v>227</v>
      </c>
      <c r="C216" t="s">
        <v>208</v>
      </c>
      <c r="D216">
        <v>1.3467755317687899</v>
      </c>
      <c r="E216">
        <v>0.56724035739898604</v>
      </c>
      <c r="F216">
        <v>1.5080794095993</v>
      </c>
      <c r="G216">
        <v>0.58993220329284601</v>
      </c>
      <c r="H216">
        <v>1.1854715347289999</v>
      </c>
      <c r="I216">
        <v>0.54454851150512695</v>
      </c>
      <c r="J216" t="str">
        <f t="shared" si="11"/>
        <v>M41T_I52Q_E55K_R109V_E110K</v>
      </c>
      <c r="K216">
        <f t="shared" si="10"/>
        <v>0.21814155578614014</v>
      </c>
    </row>
    <row r="217" spans="1:11" x14ac:dyDescent="0.2">
      <c r="A217">
        <v>8150</v>
      </c>
      <c r="B217" t="s">
        <v>228</v>
      </c>
      <c r="C217" t="s">
        <v>208</v>
      </c>
      <c r="D217">
        <v>1.2487168312072701</v>
      </c>
      <c r="E217">
        <v>0.57691144943237305</v>
      </c>
      <c r="F217">
        <v>1.3740087747573799</v>
      </c>
      <c r="G217">
        <v>0.59109580516815097</v>
      </c>
      <c r="H217">
        <v>1.12342476844787</v>
      </c>
      <c r="I217">
        <v>0.56272709369659402</v>
      </c>
      <c r="J217" t="str">
        <f t="shared" si="11"/>
        <v>M41T_I52Q_E55K_R109V_E117Q</v>
      </c>
      <c r="K217">
        <f t="shared" si="10"/>
        <v>0.31620025634766002</v>
      </c>
    </row>
    <row r="218" spans="1:11" x14ac:dyDescent="0.2">
      <c r="A218">
        <v>8149</v>
      </c>
      <c r="B218" t="s">
        <v>229</v>
      </c>
      <c r="C218" t="s">
        <v>208</v>
      </c>
      <c r="D218">
        <v>1.2569618225097601</v>
      </c>
      <c r="E218">
        <v>0.593824982643127</v>
      </c>
      <c r="F218">
        <v>1.4488277435302701</v>
      </c>
      <c r="G218">
        <v>0.60423225164413397</v>
      </c>
      <c r="H218">
        <v>1.06509590148925</v>
      </c>
      <c r="I218">
        <v>0.58341765403747503</v>
      </c>
      <c r="J218" t="str">
        <f t="shared" si="11"/>
        <v>M41T_I52Q_V91S_R109V_E117S</v>
      </c>
      <c r="K218">
        <f t="shared" si="10"/>
        <v>0.30795526504517001</v>
      </c>
    </row>
    <row r="219" spans="1:11" x14ac:dyDescent="0.2">
      <c r="A219">
        <v>8148</v>
      </c>
      <c r="B219" t="s">
        <v>230</v>
      </c>
      <c r="C219" t="s">
        <v>208</v>
      </c>
      <c r="D219">
        <v>1.37549400329589</v>
      </c>
      <c r="E219">
        <v>0.57479345798492398</v>
      </c>
      <c r="F219">
        <v>1.58234775066375</v>
      </c>
      <c r="G219">
        <v>0.59144800901412897</v>
      </c>
      <c r="H219">
        <v>1.16864037513732</v>
      </c>
      <c r="I219">
        <v>0.55813890695571899</v>
      </c>
      <c r="J219" t="str">
        <f t="shared" si="11"/>
        <v>M41T_I52Q_E55K_R109V_E117L</v>
      </c>
      <c r="K219">
        <f t="shared" si="10"/>
        <v>0.18942308425904009</v>
      </c>
    </row>
    <row r="220" spans="1:11" x14ac:dyDescent="0.2">
      <c r="A220">
        <v>8147</v>
      </c>
      <c r="B220" t="s">
        <v>231</v>
      </c>
      <c r="C220" t="s">
        <v>208</v>
      </c>
      <c r="D220">
        <v>1.2291455268859801</v>
      </c>
      <c r="E220">
        <v>0.57804441452026301</v>
      </c>
      <c r="F220">
        <v>1.33731412887573</v>
      </c>
      <c r="G220">
        <v>0.59907442331313998</v>
      </c>
      <c r="H220">
        <v>1.12097692489624</v>
      </c>
      <c r="I220">
        <v>0.55701446533203103</v>
      </c>
      <c r="J220" t="str">
        <f t="shared" si="11"/>
        <v>M41T_I52Q_E55K_R109V_E117V</v>
      </c>
      <c r="K220">
        <f t="shared" si="10"/>
        <v>0.33577156066894998</v>
      </c>
    </row>
    <row r="221" spans="1:11" x14ac:dyDescent="0.2">
      <c r="A221">
        <v>8146</v>
      </c>
      <c r="B221" t="s">
        <v>232</v>
      </c>
      <c r="C221" t="s">
        <v>208</v>
      </c>
      <c r="D221">
        <v>1.31454753875732</v>
      </c>
      <c r="E221">
        <v>0.56909441947937001</v>
      </c>
      <c r="F221">
        <v>1.46987116336822</v>
      </c>
      <c r="G221">
        <v>0.596002757549285</v>
      </c>
      <c r="H221">
        <v>1.15922379493713</v>
      </c>
      <c r="I221">
        <v>0.54218602180480902</v>
      </c>
      <c r="J221" t="str">
        <f t="shared" si="11"/>
        <v>M41T_I52Q_E55K_R109V_E117C</v>
      </c>
      <c r="K221">
        <f t="shared" si="10"/>
        <v>0.25036954879761009</v>
      </c>
    </row>
    <row r="222" spans="1:11" x14ac:dyDescent="0.2">
      <c r="A222">
        <v>8145</v>
      </c>
      <c r="B222" t="s">
        <v>233</v>
      </c>
      <c r="C222" t="s">
        <v>208</v>
      </c>
      <c r="D222">
        <v>1.2271577119827199</v>
      </c>
      <c r="E222">
        <v>0.586747646331787</v>
      </c>
      <c r="F222">
        <v>1.32023537158966</v>
      </c>
      <c r="G222">
        <v>0.60156857967376698</v>
      </c>
      <c r="H222">
        <v>1.1340800523757899</v>
      </c>
      <c r="I222">
        <v>0.57192671298980702</v>
      </c>
      <c r="J222" t="str">
        <f t="shared" si="11"/>
        <v>M41N_I52Q_R109V_E110S_E117S</v>
      </c>
      <c r="K222">
        <f t="shared" si="10"/>
        <v>0.33775937557221014</v>
      </c>
    </row>
    <row r="223" spans="1:11" x14ac:dyDescent="0.2">
      <c r="A223">
        <v>8144</v>
      </c>
      <c r="B223" t="s">
        <v>234</v>
      </c>
      <c r="C223" t="s">
        <v>208</v>
      </c>
      <c r="D223">
        <v>1.2962553501129099</v>
      </c>
      <c r="E223">
        <v>0.56031167507171598</v>
      </c>
      <c r="F223">
        <v>1.3312119245529099</v>
      </c>
      <c r="G223">
        <v>0.54686748981475797</v>
      </c>
      <c r="H223">
        <v>1.2612987756729099</v>
      </c>
      <c r="I223">
        <v>0.57375586032867398</v>
      </c>
      <c r="J223" t="str">
        <f t="shared" si="11"/>
        <v>I52Q_E62K_I66C_R109V_V116A</v>
      </c>
      <c r="K223">
        <f t="shared" si="10"/>
        <v>0.26866173744202015</v>
      </c>
    </row>
    <row r="224" spans="1:11" x14ac:dyDescent="0.2">
      <c r="A224">
        <v>8143</v>
      </c>
      <c r="B224" t="s">
        <v>235</v>
      </c>
      <c r="C224" t="s">
        <v>208</v>
      </c>
      <c r="D224">
        <v>1.3459107875823899</v>
      </c>
      <c r="E224">
        <v>0.55903744697570801</v>
      </c>
      <c r="F224">
        <v>1.4647976160049401</v>
      </c>
      <c r="G224">
        <v>0.55886697769164995</v>
      </c>
      <c r="H224">
        <v>1.22702407836914</v>
      </c>
      <c r="I224">
        <v>0.55920785665511996</v>
      </c>
      <c r="J224" t="str">
        <f t="shared" si="11"/>
        <v>M41N_I52Q_E62K_I66K_R109V</v>
      </c>
      <c r="K224">
        <f t="shared" si="10"/>
        <v>0.21900629997254017</v>
      </c>
    </row>
    <row r="225" spans="1:11" x14ac:dyDescent="0.2">
      <c r="A225">
        <v>8142</v>
      </c>
      <c r="B225" t="s">
        <v>236</v>
      </c>
      <c r="C225" t="s">
        <v>208</v>
      </c>
      <c r="D225">
        <v>1.34735202789306</v>
      </c>
      <c r="E225">
        <v>0.56307691335678101</v>
      </c>
      <c r="F225">
        <v>1.50416254997253</v>
      </c>
      <c r="G225">
        <v>0.58302026987075795</v>
      </c>
      <c r="H225">
        <v>1.19054150581359</v>
      </c>
      <c r="I225">
        <v>0.54313355684280396</v>
      </c>
      <c r="J225" t="str">
        <f t="shared" si="11"/>
        <v>M41T_V49K_I52Q_E55K_R109V</v>
      </c>
      <c r="K225">
        <f t="shared" si="10"/>
        <v>0.21756505966187012</v>
      </c>
    </row>
    <row r="226" spans="1:11" x14ac:dyDescent="0.2">
      <c r="A226">
        <v>8141</v>
      </c>
      <c r="B226" t="s">
        <v>237</v>
      </c>
      <c r="C226" t="s">
        <v>208</v>
      </c>
      <c r="D226">
        <v>1.3456164598464899</v>
      </c>
      <c r="E226">
        <v>0.56689631938934304</v>
      </c>
      <c r="F226">
        <v>1.5202212333679199</v>
      </c>
      <c r="G226">
        <v>0.58148890733718805</v>
      </c>
      <c r="H226">
        <v>1.1710116863250699</v>
      </c>
      <c r="I226">
        <v>0.55230367183685303</v>
      </c>
      <c r="J226" t="str">
        <f t="shared" si="11"/>
        <v>M41T_I52Q_E55K_I66K_R109V</v>
      </c>
      <c r="K226">
        <f t="shared" si="10"/>
        <v>0.21930062770844017</v>
      </c>
    </row>
    <row r="227" spans="1:11" x14ac:dyDescent="0.2">
      <c r="A227">
        <v>8140</v>
      </c>
      <c r="B227" t="s">
        <v>238</v>
      </c>
      <c r="C227" t="s">
        <v>208</v>
      </c>
      <c r="D227">
        <v>1.2904796600341699</v>
      </c>
      <c r="E227">
        <v>0.55286550521850497</v>
      </c>
      <c r="F227">
        <v>1.35534703731536</v>
      </c>
      <c r="G227">
        <v>0.56721323728561401</v>
      </c>
      <c r="H227">
        <v>1.2256121635437001</v>
      </c>
      <c r="I227">
        <v>0.53851777315139704</v>
      </c>
      <c r="J227" t="str">
        <f t="shared" si="11"/>
        <v>M41T_I52Q_E55K_W98K_R109V</v>
      </c>
      <c r="K227">
        <f t="shared" si="10"/>
        <v>0.27443742752076017</v>
      </c>
    </row>
    <row r="228" spans="1:11" x14ac:dyDescent="0.2">
      <c r="A228">
        <v>8139</v>
      </c>
      <c r="B228" t="s">
        <v>239</v>
      </c>
      <c r="C228" t="s">
        <v>208</v>
      </c>
      <c r="D228">
        <v>1.35095143318176</v>
      </c>
      <c r="E228">
        <v>0.56018537282943703</v>
      </c>
      <c r="F228">
        <v>1.514892578125</v>
      </c>
      <c r="G228">
        <v>0.57853883504867498</v>
      </c>
      <c r="H228">
        <v>1.1870102882385201</v>
      </c>
      <c r="I228">
        <v>0.54183191061019897</v>
      </c>
      <c r="J228" t="str">
        <f t="shared" si="11"/>
        <v>M41T_I52Q_E55K_S64K_R109V</v>
      </c>
      <c r="K228">
        <f t="shared" si="10"/>
        <v>0.21396565437317006</v>
      </c>
    </row>
    <row r="229" spans="1:11" x14ac:dyDescent="0.2">
      <c r="A229">
        <v>8138</v>
      </c>
      <c r="B229" t="s">
        <v>240</v>
      </c>
      <c r="C229" t="s">
        <v>208</v>
      </c>
      <c r="D229">
        <v>1.3808906078338601</v>
      </c>
      <c r="E229">
        <v>0.54941248893737704</v>
      </c>
      <c r="F229">
        <v>1.4138091802596999</v>
      </c>
      <c r="G229">
        <v>0.570101559162139</v>
      </c>
      <c r="H229">
        <v>1.34797191619873</v>
      </c>
      <c r="I229">
        <v>0.52872341871261597</v>
      </c>
      <c r="J229" t="str">
        <f t="shared" si="11"/>
        <v>M41T_I52Q_E55K_R109V_V116S</v>
      </c>
      <c r="K229">
        <f t="shared" si="10"/>
        <v>0.18402647972107</v>
      </c>
    </row>
    <row r="230" spans="1:11" x14ac:dyDescent="0.2">
      <c r="A230">
        <v>8137</v>
      </c>
      <c r="B230" t="s">
        <v>241</v>
      </c>
      <c r="C230" t="s">
        <v>208</v>
      </c>
      <c r="D230">
        <v>1.55584836006164</v>
      </c>
      <c r="E230">
        <v>0.36931610107421797</v>
      </c>
      <c r="F230">
        <v>1.7190705537796001</v>
      </c>
      <c r="G230">
        <v>0.35578289628028797</v>
      </c>
      <c r="H230">
        <v>1.3926262855529701</v>
      </c>
      <c r="I230">
        <v>0.38284933567047102</v>
      </c>
      <c r="J230" t="str">
        <f t="shared" si="11"/>
        <v>M41T_I52Q_E55K_R109V_V116Q</v>
      </c>
      <c r="K230">
        <f t="shared" si="10"/>
        <v>9.0687274932901296E-3</v>
      </c>
    </row>
    <row r="231" spans="1:11" x14ac:dyDescent="0.2">
      <c r="A231">
        <v>8136</v>
      </c>
      <c r="B231" t="s">
        <v>242</v>
      </c>
      <c r="C231" t="s">
        <v>208</v>
      </c>
      <c r="D231">
        <v>1.3401081562042201</v>
      </c>
      <c r="E231">
        <v>0.56883800029754605</v>
      </c>
      <c r="F231">
        <v>1.47118544578552</v>
      </c>
      <c r="G231">
        <v>0.59065693616866999</v>
      </c>
      <c r="H231">
        <v>1.2090309858322099</v>
      </c>
      <c r="I231">
        <v>0.54701912403106601</v>
      </c>
      <c r="J231" t="str">
        <f t="shared" si="11"/>
        <v>M41T_I52Q_E55K_R109V_V116T</v>
      </c>
      <c r="K231">
        <f t="shared" si="10"/>
        <v>0.22480893135071001</v>
      </c>
    </row>
    <row r="232" spans="1:11" x14ac:dyDescent="0.2">
      <c r="A232">
        <v>8135</v>
      </c>
      <c r="B232" t="s">
        <v>243</v>
      </c>
      <c r="C232" t="s">
        <v>208</v>
      </c>
      <c r="D232">
        <v>1.30857801437377</v>
      </c>
      <c r="E232">
        <v>0.52368813753127996</v>
      </c>
      <c r="F232">
        <v>1.3769549131393399</v>
      </c>
      <c r="G232">
        <v>0.53345388174056996</v>
      </c>
      <c r="H232">
        <v>1.24020111560821</v>
      </c>
      <c r="I232">
        <v>0.51392239332199097</v>
      </c>
      <c r="J232" t="str">
        <f t="shared" si="11"/>
        <v>M41T_I52Q_E55K_R109V_V116A</v>
      </c>
      <c r="K232">
        <f t="shared" si="10"/>
        <v>0.25633907318116012</v>
      </c>
    </row>
    <row r="233" spans="1:11" x14ac:dyDescent="0.2">
      <c r="A233">
        <v>8134</v>
      </c>
      <c r="B233" t="s">
        <v>244</v>
      </c>
      <c r="C233" t="s">
        <v>208</v>
      </c>
      <c r="D233">
        <v>1.3501114845275799</v>
      </c>
      <c r="E233">
        <v>0.56267499923705999</v>
      </c>
      <c r="F233">
        <v>1.4913629293441699</v>
      </c>
      <c r="G233">
        <v>0.58297103643417303</v>
      </c>
      <c r="H233">
        <v>1.2088599205017001</v>
      </c>
      <c r="I233">
        <v>0.54237890243530196</v>
      </c>
      <c r="J233" t="str">
        <f t="shared" si="11"/>
        <v>M41T_I52Q_E55K_I85A_R109V</v>
      </c>
      <c r="K233">
        <f t="shared" si="10"/>
        <v>0.21480560302735019</v>
      </c>
    </row>
    <row r="234" spans="1:11" x14ac:dyDescent="0.2">
      <c r="A234">
        <v>8133</v>
      </c>
      <c r="B234" t="s">
        <v>245</v>
      </c>
      <c r="C234" t="s">
        <v>208</v>
      </c>
      <c r="D234">
        <v>1.3028705120086601</v>
      </c>
      <c r="E234">
        <v>0.57360303401946999</v>
      </c>
      <c r="F234">
        <v>1.40462458133697</v>
      </c>
      <c r="G234">
        <v>0.58250731229782104</v>
      </c>
      <c r="H234">
        <v>1.20111656188964</v>
      </c>
      <c r="I234">
        <v>0.56469869613647405</v>
      </c>
      <c r="J234" t="str">
        <f t="shared" si="11"/>
        <v>M41T_I52Q_E55K_Q69K_R109V</v>
      </c>
      <c r="K234">
        <f t="shared" si="10"/>
        <v>0.26204657554626998</v>
      </c>
    </row>
    <row r="235" spans="1:11" x14ac:dyDescent="0.2">
      <c r="A235">
        <v>8132</v>
      </c>
      <c r="B235" t="s">
        <v>246</v>
      </c>
      <c r="C235" t="s">
        <v>208</v>
      </c>
      <c r="D235">
        <v>1.3561768531799301</v>
      </c>
      <c r="E235">
        <v>0.57537043094634999</v>
      </c>
      <c r="F235">
        <v>1.56279325485229</v>
      </c>
      <c r="G235">
        <v>0.59037309885025002</v>
      </c>
      <c r="H235">
        <v>1.1495605707168499</v>
      </c>
      <c r="I235">
        <v>0.56036782264709395</v>
      </c>
      <c r="J235" t="str">
        <f t="shared" si="11"/>
        <v>M41T_I52Q_E55K_G89E_R109V</v>
      </c>
      <c r="K235">
        <f t="shared" si="10"/>
        <v>0.208740234375</v>
      </c>
    </row>
    <row r="236" spans="1:11" x14ac:dyDescent="0.2">
      <c r="A236">
        <v>8131</v>
      </c>
      <c r="B236" t="s">
        <v>247</v>
      </c>
      <c r="C236" t="s">
        <v>208</v>
      </c>
      <c r="D236">
        <v>1.2926716804504299</v>
      </c>
      <c r="E236">
        <v>0.57130259275436401</v>
      </c>
      <c r="F236">
        <v>1.4483870267868</v>
      </c>
      <c r="G236">
        <v>0.57682192325591997</v>
      </c>
      <c r="H236">
        <v>1.13695645332336</v>
      </c>
      <c r="I236">
        <v>0.56578326225280695</v>
      </c>
      <c r="J236" t="str">
        <f t="shared" si="11"/>
        <v>M41T_I52Q_E55K_T84C_R109V</v>
      </c>
      <c r="K236">
        <f t="shared" si="10"/>
        <v>0.27224540710450018</v>
      </c>
    </row>
    <row r="237" spans="1:11" x14ac:dyDescent="0.2">
      <c r="A237">
        <v>8130</v>
      </c>
      <c r="B237" t="s">
        <v>248</v>
      </c>
      <c r="C237" t="s">
        <v>208</v>
      </c>
      <c r="D237">
        <v>1.3018710613250699</v>
      </c>
      <c r="E237">
        <v>0.56737869977951005</v>
      </c>
      <c r="F237">
        <v>1.4876447916030799</v>
      </c>
      <c r="G237">
        <v>0.571136534214019</v>
      </c>
      <c r="H237">
        <v>1.1160973310470499</v>
      </c>
      <c r="I237">
        <v>0.563620865345001</v>
      </c>
      <c r="J237" t="str">
        <f t="shared" si="11"/>
        <v>M41T_I52Q_E55K_I66C_R109V</v>
      </c>
      <c r="K237">
        <f t="shared" si="10"/>
        <v>0.26304602622986017</v>
      </c>
    </row>
    <row r="238" spans="1:11" x14ac:dyDescent="0.2">
      <c r="A238">
        <v>8129</v>
      </c>
      <c r="B238" t="s">
        <v>249</v>
      </c>
      <c r="C238" t="s">
        <v>208</v>
      </c>
      <c r="D238">
        <v>1.3197712898254299</v>
      </c>
      <c r="E238">
        <v>0.57908451557159402</v>
      </c>
      <c r="F238">
        <v>1.38795161247253</v>
      </c>
      <c r="G238">
        <v>0.60564893484115601</v>
      </c>
      <c r="H238">
        <v>1.2515909671783401</v>
      </c>
      <c r="I238">
        <v>0.55252015590667702</v>
      </c>
      <c r="J238" t="str">
        <f t="shared" si="11"/>
        <v>M41T_N46K_I52Q_E55K_R109V</v>
      </c>
      <c r="K238">
        <f t="shared" si="10"/>
        <v>0.24514579772950018</v>
      </c>
    </row>
    <row r="239" spans="1:11" x14ac:dyDescent="0.2">
      <c r="A239">
        <v>8128</v>
      </c>
      <c r="B239" t="s">
        <v>250</v>
      </c>
      <c r="C239" t="s">
        <v>208</v>
      </c>
      <c r="D239">
        <v>1.3687760829925499</v>
      </c>
      <c r="E239">
        <v>0.56410926580428999</v>
      </c>
      <c r="F239">
        <v>1.5614925622939999</v>
      </c>
      <c r="G239">
        <v>0.57825887203216497</v>
      </c>
      <c r="H239">
        <v>1.17605972290039</v>
      </c>
      <c r="I239">
        <v>0.54995965957641602</v>
      </c>
      <c r="J239" t="str">
        <f t="shared" si="11"/>
        <v>M41N_I52Q_E55K_R109V_E110S</v>
      </c>
      <c r="K239">
        <f t="shared" si="10"/>
        <v>0.19614100456238015</v>
      </c>
    </row>
    <row r="240" spans="1:11" x14ac:dyDescent="0.2">
      <c r="A240">
        <v>8127</v>
      </c>
      <c r="B240" t="s">
        <v>251</v>
      </c>
      <c r="C240" t="s">
        <v>208</v>
      </c>
      <c r="D240">
        <v>1.65037488937377</v>
      </c>
      <c r="E240">
        <v>0.425673097372055</v>
      </c>
      <c r="F240">
        <v>1.95636618137359</v>
      </c>
      <c r="G240">
        <v>0.41648328304290699</v>
      </c>
      <c r="H240">
        <v>1.34438347816467</v>
      </c>
      <c r="I240">
        <v>0.434862911701202</v>
      </c>
      <c r="J240" t="str">
        <f t="shared" si="11"/>
        <v>M41T_I52Q_E55K_R109V_V116M</v>
      </c>
      <c r="K240">
        <f t="shared" si="10"/>
        <v>-8.5457801818839885E-2</v>
      </c>
    </row>
    <row r="241" spans="1:11" x14ac:dyDescent="0.2">
      <c r="A241">
        <v>8126</v>
      </c>
      <c r="B241" t="s">
        <v>252</v>
      </c>
      <c r="C241" t="s">
        <v>208</v>
      </c>
      <c r="D241">
        <v>1.4158024787902801</v>
      </c>
      <c r="E241">
        <v>0.55081373453140203</v>
      </c>
      <c r="F241">
        <v>1.4973554611205999</v>
      </c>
      <c r="G241">
        <v>0.55772119760513295</v>
      </c>
      <c r="H241">
        <v>1.33424961566925</v>
      </c>
      <c r="I241">
        <v>0.54390627145767201</v>
      </c>
      <c r="J241" t="str">
        <f t="shared" si="11"/>
        <v>M41T_I52Q_I66C_R109V_V116S</v>
      </c>
      <c r="K241">
        <f t="shared" si="10"/>
        <v>0.14911460876464999</v>
      </c>
    </row>
    <row r="242" spans="1:11" x14ac:dyDescent="0.2">
      <c r="A242">
        <v>8125</v>
      </c>
      <c r="B242" t="s">
        <v>253</v>
      </c>
      <c r="C242" t="s">
        <v>208</v>
      </c>
      <c r="D242">
        <v>1.28243792057037</v>
      </c>
      <c r="E242">
        <v>0.54892075061798096</v>
      </c>
      <c r="F242">
        <v>1.3216259479522701</v>
      </c>
      <c r="G242">
        <v>0.59103339910507202</v>
      </c>
      <c r="H242">
        <v>1.2432498931884699</v>
      </c>
      <c r="I242">
        <v>0.506808102130889</v>
      </c>
      <c r="J242" t="str">
        <f t="shared" si="11"/>
        <v>M41T_I52Q_E55K_I85G_R109V</v>
      </c>
      <c r="K242">
        <f t="shared" si="10"/>
        <v>0.2824791669845601</v>
      </c>
    </row>
    <row r="243" spans="1:11" x14ac:dyDescent="0.2">
      <c r="A243">
        <v>8124</v>
      </c>
      <c r="B243" t="s">
        <v>254</v>
      </c>
      <c r="C243" t="s">
        <v>208</v>
      </c>
      <c r="D243">
        <v>1.46709728240966</v>
      </c>
      <c r="E243">
        <v>0.50548946857452304</v>
      </c>
      <c r="F243">
        <v>1.5622518062591499</v>
      </c>
      <c r="G243">
        <v>0.51739484071731501</v>
      </c>
      <c r="H243">
        <v>1.37194275856018</v>
      </c>
      <c r="I243">
        <v>0.49358409643173201</v>
      </c>
      <c r="J243" t="str">
        <f t="shared" si="11"/>
        <v>M41T_I52Q_I66C_R109V_V116N</v>
      </c>
      <c r="K243">
        <f t="shared" si="10"/>
        <v>9.7819805145270111E-2</v>
      </c>
    </row>
    <row r="244" spans="1:11" x14ac:dyDescent="0.2">
      <c r="A244">
        <v>8123</v>
      </c>
      <c r="B244" t="s">
        <v>255</v>
      </c>
      <c r="C244" t="s">
        <v>208</v>
      </c>
      <c r="D244">
        <v>1.4896392822265601</v>
      </c>
      <c r="E244">
        <v>0.51308041810989302</v>
      </c>
      <c r="F244">
        <v>1.61962914466857</v>
      </c>
      <c r="G244">
        <v>0.551458179950714</v>
      </c>
      <c r="H244">
        <v>1.3596493005752499</v>
      </c>
      <c r="I244">
        <v>0.47470268607139499</v>
      </c>
      <c r="J244" t="str">
        <f t="shared" si="11"/>
        <v>M41T_I52Q_E55K_R109V_V116N</v>
      </c>
      <c r="K244">
        <f t="shared" si="10"/>
        <v>7.5277805328370029E-2</v>
      </c>
    </row>
    <row r="245" spans="1:11" x14ac:dyDescent="0.2">
      <c r="A245">
        <v>8122</v>
      </c>
      <c r="B245" t="s">
        <v>256</v>
      </c>
      <c r="C245" t="s">
        <v>208</v>
      </c>
      <c r="D245">
        <v>1.2305427789688099</v>
      </c>
      <c r="E245">
        <v>0.55486559867858798</v>
      </c>
      <c r="F245">
        <v>1.23830449581146</v>
      </c>
      <c r="G245">
        <v>0.548231720924377</v>
      </c>
      <c r="H245">
        <v>1.2227810621261499</v>
      </c>
      <c r="I245">
        <v>0.56149953603744496</v>
      </c>
      <c r="J245" t="str">
        <f t="shared" si="11"/>
        <v>I52Q_E55K_I66C_R109V_V116A</v>
      </c>
      <c r="K245">
        <f t="shared" si="10"/>
        <v>0.33437430858612016</v>
      </c>
    </row>
    <row r="246" spans="1:11" x14ac:dyDescent="0.2">
      <c r="A246">
        <v>8121</v>
      </c>
      <c r="B246" t="s">
        <v>257</v>
      </c>
      <c r="C246" t="s">
        <v>208</v>
      </c>
      <c r="D246">
        <v>1.34329009056091</v>
      </c>
      <c r="E246">
        <v>0.58245056867599398</v>
      </c>
      <c r="F246">
        <v>1.4652668237686099</v>
      </c>
      <c r="G246">
        <v>0.610187828540802</v>
      </c>
      <c r="H246">
        <v>1.22131335735321</v>
      </c>
      <c r="I246">
        <v>0.55471330881118697</v>
      </c>
      <c r="J246" t="str">
        <f t="shared" si="11"/>
        <v>M41N_I52Q_E55R_I66K_R109V</v>
      </c>
      <c r="K246">
        <f t="shared" si="10"/>
        <v>0.22162699699402011</v>
      </c>
    </row>
  </sheetData>
  <sortState xmlns:xlrd2="http://schemas.microsoft.com/office/spreadsheetml/2017/richdata2" ref="A3:J48">
    <sortCondition descending="1" ref="J3:J4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fabp4_r1_activity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Roberts</dc:creator>
  <cp:lastModifiedBy>Jacob Roberts</cp:lastModifiedBy>
  <dcterms:created xsi:type="dcterms:W3CDTF">2025-06-21T17:15:18Z</dcterms:created>
  <dcterms:modified xsi:type="dcterms:W3CDTF">2025-07-05T15:45:37Z</dcterms:modified>
</cp:coreProperties>
</file>