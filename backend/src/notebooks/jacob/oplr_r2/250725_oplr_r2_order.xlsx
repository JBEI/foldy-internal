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50725_oplr_r2_rerun_pickorder" sheetId="1" r:id="rId4"/>
    <sheet state="visible" name="isaac_plate_layout" sheetId="2" r:id="rId5"/>
  </sheets>
  <definedNames>
    <definedName hidden="1" localSheetId="0" name="_xlnm._FilterDatabase">'250725_oplr_r2_rerun_pickorder'!$A$1:$G$56</definedName>
  </definedNames>
  <calcPr/>
  <extLst>
    <ext uri="GoogleSheetsCustomDataVersion2">
      <go:sheetsCustomData xmlns:go="http://customooxmlschemas.google.com/" r:id="rId6" roundtripDataChecksum="lMivyt2hPVEHBZCd0q+po4ZSgyWHqtORiBNi+lvj3Os="/>
    </ext>
  </extLst>
</workbook>
</file>

<file path=xl/sharedStrings.xml><?xml version="1.0" encoding="utf-8"?>
<sst xmlns="http://schemas.openxmlformats.org/spreadsheetml/2006/main" count="366" uniqueCount="234">
  <si>
    <t>campaign_id</t>
  </si>
  <si>
    <t>seq_id</t>
  </si>
  <si>
    <t>teselagen_plasmid_id</t>
  </si>
  <si>
    <t>Sequence Confirmed Glycerol Plate Well</t>
  </si>
  <si>
    <t>2505 Sequencing Well</t>
  </si>
  <si>
    <t>250725 restreak index</t>
  </si>
  <si>
    <t>2507 R2 first try well</t>
  </si>
  <si>
    <t>AP_OplR</t>
  </si>
  <si>
    <t>Q12D_Q123D</t>
  </si>
  <si>
    <t>AP_OplR_R2_0003</t>
  </si>
  <si>
    <t>Plate1.A3</t>
  </si>
  <si>
    <t>A3</t>
  </si>
  <si>
    <t>Q45S_Q123D</t>
  </si>
  <si>
    <t>AP_OplR_R2_0008</t>
  </si>
  <si>
    <t>Plate1.B8</t>
  </si>
  <si>
    <t>A8.2</t>
  </si>
  <si>
    <t>T52G_Y255T</t>
  </si>
  <si>
    <t>AP_OplR_R2_0009</t>
  </si>
  <si>
    <t>Plate1.A9</t>
  </si>
  <si>
    <t>A9</t>
  </si>
  <si>
    <t>Q63A_E218I</t>
  </si>
  <si>
    <t>AP_OplR_R2_0010</t>
  </si>
  <si>
    <t>Plate1.A10</t>
  </si>
  <si>
    <t>A10</t>
  </si>
  <si>
    <t>Q63V_Q123D</t>
  </si>
  <si>
    <t>AP_OplR_R2_0012</t>
  </si>
  <si>
    <t>Plate1.A12</t>
  </si>
  <si>
    <t>A12</t>
  </si>
  <si>
    <t>Q75R_Y255T</t>
  </si>
  <si>
    <t>AP_OplR_R2_0013</t>
  </si>
  <si>
    <t>Plate1.C1</t>
  </si>
  <si>
    <t>B1</t>
  </si>
  <si>
    <t>F80A_Y255R</t>
  </si>
  <si>
    <t>AP_OplR_R2_0014</t>
  </si>
  <si>
    <t>Plate1.C2</t>
  </si>
  <si>
    <t>B2</t>
  </si>
  <si>
    <t>Q99R_Q123D</t>
  </si>
  <si>
    <t>AP_OplR_R2_0015</t>
  </si>
  <si>
    <t>Plate1.C3</t>
  </si>
  <si>
    <t>B3</t>
  </si>
  <si>
    <t>Q123D_Q155S</t>
  </si>
  <si>
    <t>AP_OplR_R2_0016</t>
  </si>
  <si>
    <t>Plate1.D4</t>
  </si>
  <si>
    <t>B4.2</t>
  </si>
  <si>
    <t>Q123D_A187I</t>
  </si>
  <si>
    <t>AP_OplR_R2_0018</t>
  </si>
  <si>
    <t>Plate1.C6</t>
  </si>
  <si>
    <t>B6</t>
  </si>
  <si>
    <t>Q123D_T190L</t>
  </si>
  <si>
    <t>AP_OplR_R2_0019</t>
  </si>
  <si>
    <t>Plate1.C7</t>
  </si>
  <si>
    <t>B7</t>
  </si>
  <si>
    <t>Q123D_G237K</t>
  </si>
  <si>
    <t>AP_OplR_R2_0020</t>
  </si>
  <si>
    <t>Plate1.C8</t>
  </si>
  <si>
    <t>B8</t>
  </si>
  <si>
    <t>Q123D_L241I</t>
  </si>
  <si>
    <t>AP_OplR_R2_0021</t>
  </si>
  <si>
    <t>Plate1.C9</t>
  </si>
  <si>
    <t>B9</t>
  </si>
  <si>
    <t>Q123D_P254G</t>
  </si>
  <si>
    <t>AP_OplR_R2_0022</t>
  </si>
  <si>
    <t>Plate1.D10</t>
  </si>
  <si>
    <t>B10.2</t>
  </si>
  <si>
    <t>Q123D_Y255R</t>
  </si>
  <si>
    <t>AP_OplR_R2_0023</t>
  </si>
  <si>
    <t>Plate1.C11</t>
  </si>
  <si>
    <t>B11</t>
  </si>
  <si>
    <t>Q123D_Q264K</t>
  </si>
  <si>
    <t>AP_OplR_R2_0024</t>
  </si>
  <si>
    <t>Plate1.C12</t>
  </si>
  <si>
    <t>B12</t>
  </si>
  <si>
    <t>Q123D_Q296H</t>
  </si>
  <si>
    <t>AP_OplR_R2_0025</t>
  </si>
  <si>
    <t>Plate1.E1</t>
  </si>
  <si>
    <t>C1</t>
  </si>
  <si>
    <t>Q123D_Q303R</t>
  </si>
  <si>
    <t>AP_OplR_R2_0026</t>
  </si>
  <si>
    <t>Plate1.E2</t>
  </si>
  <si>
    <t>C2</t>
  </si>
  <si>
    <t>Q123D_A309P</t>
  </si>
  <si>
    <t>AP_OplR_R2_0027</t>
  </si>
  <si>
    <t>Plate1.E3</t>
  </si>
  <si>
    <t>C3</t>
  </si>
  <si>
    <t>Q123D_H318D</t>
  </si>
  <si>
    <t>AP_OplR_R2_0029</t>
  </si>
  <si>
    <t>Plate1.E5</t>
  </si>
  <si>
    <t>C5</t>
  </si>
  <si>
    <t>K137A_Y255L</t>
  </si>
  <si>
    <t>AP_OplR_R2_0030</t>
  </si>
  <si>
    <t>Plate1.E6</t>
  </si>
  <si>
    <t>C6</t>
  </si>
  <si>
    <t>K137P_Y255L</t>
  </si>
  <si>
    <t>AP_OplR_R2_0031</t>
  </si>
  <si>
    <t>Plate1.E7</t>
  </si>
  <si>
    <t>C7</t>
  </si>
  <si>
    <t>K144A_Y255L</t>
  </si>
  <si>
    <t>AP_OplR_R2_0033</t>
  </si>
  <si>
    <t>Plate1.E9</t>
  </si>
  <si>
    <t>C9</t>
  </si>
  <si>
    <t>K144A_Y255T</t>
  </si>
  <si>
    <t>AP_OplR_R2_0034</t>
  </si>
  <si>
    <t>Plate1.E10</t>
  </si>
  <si>
    <t>C10</t>
  </si>
  <si>
    <t>K144D_Y255L</t>
  </si>
  <si>
    <t>AP_OplR_R2_0035</t>
  </si>
  <si>
    <t>Plate1.E11</t>
  </si>
  <si>
    <t>C11</t>
  </si>
  <si>
    <t>K144E_Y255M</t>
  </si>
  <si>
    <t>AP_OplR_R2_0038</t>
  </si>
  <si>
    <t>Plate1.G2</t>
  </si>
  <si>
    <t>D2</t>
  </si>
  <si>
    <t>Y146A_Y255T</t>
  </si>
  <si>
    <t>AP_OplR_R2_0039</t>
  </si>
  <si>
    <t>Plate1.G3</t>
  </si>
  <si>
    <t>D3</t>
  </si>
  <si>
    <t>Y146C_Y255T</t>
  </si>
  <si>
    <t>AP_OplR_R2_0040</t>
  </si>
  <si>
    <t>Plate1.G4</t>
  </si>
  <si>
    <t>D4</t>
  </si>
  <si>
    <t>Y146I_Y255T</t>
  </si>
  <si>
    <t>AP_OplR_R2_0042</t>
  </si>
  <si>
    <t>Plate1.G6</t>
  </si>
  <si>
    <t>D6</t>
  </si>
  <si>
    <t>Y146L_Y255T</t>
  </si>
  <si>
    <t>AP_OplR_R2_0043</t>
  </si>
  <si>
    <t>Plate1.G7</t>
  </si>
  <si>
    <t>D7</t>
  </si>
  <si>
    <t>Y146S_Y255M</t>
  </si>
  <si>
    <t>AP_OplR_R2_0045</t>
  </si>
  <si>
    <t>Plate1.G9</t>
  </si>
  <si>
    <t>D9</t>
  </si>
  <si>
    <t>Y146S_Y255T</t>
  </si>
  <si>
    <t>AP_OplR_R2_0046</t>
  </si>
  <si>
    <t>Plate1.G10</t>
  </si>
  <si>
    <t>D10</t>
  </si>
  <si>
    <t>E218I_Y255T</t>
  </si>
  <si>
    <t>AP_OplR_R2_0050</t>
  </si>
  <si>
    <t>Plate2.B2</t>
  </si>
  <si>
    <t>E2.2</t>
  </si>
  <si>
    <t>E218L_Y255T</t>
  </si>
  <si>
    <t>AP_OplR_R2_0051</t>
  </si>
  <si>
    <t>Plate2.A3</t>
  </si>
  <si>
    <t>E3</t>
  </si>
  <si>
    <t>E218M_Y255L</t>
  </si>
  <si>
    <t>AP_OplR_R2_0052</t>
  </si>
  <si>
    <t>Plate2.A4</t>
  </si>
  <si>
    <t>E4</t>
  </si>
  <si>
    <t>E218R_Y255L</t>
  </si>
  <si>
    <t>AP_OplR_R2_0053</t>
  </si>
  <si>
    <t>Plate2.A5</t>
  </si>
  <si>
    <t>E5</t>
  </si>
  <si>
    <t>E218R_Y255M</t>
  </si>
  <si>
    <t>AP_OplR_R2_0054</t>
  </si>
  <si>
    <t>Plate2.A6</t>
  </si>
  <si>
    <t>E6</t>
  </si>
  <si>
    <t>E218R_Y255T</t>
  </si>
  <si>
    <t>AP_OplR_R2_0055</t>
  </si>
  <si>
    <t>Plate2.A7</t>
  </si>
  <si>
    <t>E7</t>
  </si>
  <si>
    <t>Y220H_Y255M</t>
  </si>
  <si>
    <t>AP_OplR_R2_0057</t>
  </si>
  <si>
    <t>Plate2.A9</t>
  </si>
  <si>
    <t>E9</t>
  </si>
  <si>
    <t>Y220H_Y255T</t>
  </si>
  <si>
    <t>AP_OplR_R2_0058</t>
  </si>
  <si>
    <t>Plate2.A10</t>
  </si>
  <si>
    <t>E10</t>
  </si>
  <si>
    <t>G237R_Y255T</t>
  </si>
  <si>
    <t>AP_OplR_R2_0059</t>
  </si>
  <si>
    <t>Plate2.A11</t>
  </si>
  <si>
    <t>E11</t>
  </si>
  <si>
    <t>Y255L_Q296H</t>
  </si>
  <si>
    <t>AP_OplR_R2_0061</t>
  </si>
  <si>
    <t>Plate2.C1</t>
  </si>
  <si>
    <t>F1</t>
  </si>
  <si>
    <t>Y255L_A309P</t>
  </si>
  <si>
    <t>AP_OplR_R2_0062</t>
  </si>
  <si>
    <t>Plate2.C2</t>
  </si>
  <si>
    <t>F2</t>
  </si>
  <si>
    <t>Y255M_A309P</t>
  </si>
  <si>
    <t>AP_OplR_R2_0066</t>
  </si>
  <si>
    <t>Plate2.C6</t>
  </si>
  <si>
    <t>F6</t>
  </si>
  <si>
    <t>Y255T_E259S</t>
  </si>
  <si>
    <t>AP_OplR_R2_0067</t>
  </si>
  <si>
    <t>Plate2.C7</t>
  </si>
  <si>
    <t>F7</t>
  </si>
  <si>
    <t>Y255T_Q296C</t>
  </si>
  <si>
    <t>AP_OplR_R2_0069</t>
  </si>
  <si>
    <t>Plate2.C9</t>
  </si>
  <si>
    <t>F9</t>
  </si>
  <si>
    <t>Y255T_Q296H</t>
  </si>
  <si>
    <t>AP_OplR_R2_0070</t>
  </si>
  <si>
    <t>Plate2.C10</t>
  </si>
  <si>
    <t>F10</t>
  </si>
  <si>
    <t>Y255T_Q296R</t>
  </si>
  <si>
    <t>AP_OplR_R2_0071</t>
  </si>
  <si>
    <t>Plate2.C11</t>
  </si>
  <si>
    <t>F11</t>
  </si>
  <si>
    <t>K144E_Y255L</t>
  </si>
  <si>
    <t>AP_OplR_R2_0037</t>
  </si>
  <si>
    <t>Plate1.G1</t>
  </si>
  <si>
    <t>D1</t>
  </si>
  <si>
    <t>Y146M_Y255T</t>
  </si>
  <si>
    <t>AP_OplR_R2_0044</t>
  </si>
  <si>
    <t>Plate1.G8</t>
  </si>
  <si>
    <t>D8</t>
  </si>
  <si>
    <t>Y146T_Y255T</t>
  </si>
  <si>
    <t>AP_OplR_R2_0047</t>
  </si>
  <si>
    <t>Plate1.G11</t>
  </si>
  <si>
    <t>D11</t>
  </si>
  <si>
    <t>Q45S_Q123D_A292D</t>
  </si>
  <si>
    <t>NA</t>
  </si>
  <si>
    <t>???</t>
  </si>
  <si>
    <t>F80A</t>
  </si>
  <si>
    <t>Y255L</t>
  </si>
  <si>
    <t>WT</t>
  </si>
  <si>
    <t>A1</t>
  </si>
  <si>
    <t>A2</t>
  </si>
  <si>
    <t>A4</t>
  </si>
  <si>
    <t>A5</t>
  </si>
  <si>
    <t>A6</t>
  </si>
  <si>
    <t>A7</t>
  </si>
  <si>
    <t>A8</t>
  </si>
  <si>
    <t>B4</t>
  </si>
  <si>
    <t>B5</t>
  </si>
  <si>
    <t>B10</t>
  </si>
  <si>
    <t>xY146M_Y255T</t>
  </si>
  <si>
    <t>xY146T_Y255T</t>
  </si>
  <si>
    <t>C4</t>
  </si>
  <si>
    <t>C8</t>
  </si>
  <si>
    <t>C12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</si>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</sst>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sz val="12.0"/>
      <color theme="1"/>
      <name val="Aptos Narrow"/>
    </font>
    <font>
      <b/>
      <sz val="12.0"/>
      <color theme="1"/>
      <name val="Arial"/>
    </font>
    <font>
      <i/>
      <sz val="12.0"/>
      <color theme="1"/>
      <name val="Aptos Narrow"/>
    </font>
    <font>
      <i/>
      <sz val="12.0"/>
      <color theme="1"/>
      <name val="Arial"/>
    </font>
    <font>
      <b/>
      <color theme="1"/>
      <name val="Arial"/>
    </font>
    <font>
      <i/>
      <color theme="1"/>
      <name val="Arial"/>
    </font>
    <font>
      <b/>
      <i/>
      <sz val="12.0"/>
      <color theme="1"/>
      <name val="Aptos Narrow"/>
    </font>
    <font>
      <i/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8.11"/>
    <col customWidth="1" min="3" max="3" width="18.33"/>
    <col customWidth="1" min="4" max="4" width="12.11"/>
    <col customWidth="1" min="5" max="5" width="13.33"/>
    <col customWidth="1" min="6" max="6" width="13.78"/>
    <col customWidth="1" min="7" max="7" width="13.0"/>
    <col customWidth="1" min="8" max="27" width="10.56"/>
  </cols>
  <sheetData>
    <row r="1" ht="60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75" customHeight="1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3">
        <v>1.0</v>
      </c>
      <c r="G2" s="3" t="str">
        <f>VLOOKUP('250725_oplr_r2_rerun_pickorder'!B2,isaac_plate_layout!$B$1:$E$45,4,FALSE)</f>
        <v>A1</v>
      </c>
    </row>
    <row r="3" ht="15.75" customHeight="1">
      <c r="A3" s="3" t="s">
        <v>7</v>
      </c>
      <c r="B3" s="3" t="s">
        <v>12</v>
      </c>
      <c r="C3" s="3" t="s">
        <v>13</v>
      </c>
      <c r="D3" s="4" t="s">
        <v>14</v>
      </c>
      <c r="E3" s="3" t="s">
        <v>15</v>
      </c>
      <c r="F3" s="3">
        <f>F2+1</f>
        <v>2</v>
      </c>
      <c r="G3" s="3" t="str">
        <f>VLOOKUP('250725_oplr_r2_rerun_pickorder'!B3,isaac_plate_layout!$B$1:$E$45,4,FALSE)</f>
        <v>D11</v>
      </c>
    </row>
    <row r="4" ht="15.75" customHeight="1">
      <c r="A4" s="3" t="s">
        <v>7</v>
      </c>
      <c r="B4" s="3" t="s">
        <v>16</v>
      </c>
      <c r="C4" s="3" t="s">
        <v>17</v>
      </c>
      <c r="D4" s="4" t="s">
        <v>18</v>
      </c>
      <c r="E4" s="3" t="s">
        <v>19</v>
      </c>
      <c r="F4" s="3">
        <v>3.0</v>
      </c>
      <c r="G4" s="3" t="str">
        <f>VLOOKUP('250725_oplr_r2_rerun_pickorder'!B4,isaac_plate_layout!$B$1:$E$45,4,FALSE)</f>
        <v>A2</v>
      </c>
    </row>
    <row r="5" ht="15.75" customHeight="1">
      <c r="A5" s="3" t="s">
        <v>7</v>
      </c>
      <c r="B5" s="3" t="s">
        <v>20</v>
      </c>
      <c r="C5" s="3" t="s">
        <v>21</v>
      </c>
      <c r="D5" s="4" t="s">
        <v>22</v>
      </c>
      <c r="E5" s="3" t="s">
        <v>23</v>
      </c>
      <c r="F5" s="3">
        <v>4.0</v>
      </c>
      <c r="G5" s="3" t="str">
        <f>VLOOKUP('250725_oplr_r2_rerun_pickorder'!B5,isaac_plate_layout!$B$1:$E$45,4,FALSE)</f>
        <v>A3</v>
      </c>
    </row>
    <row r="6" ht="15.75" customHeight="1">
      <c r="A6" s="3" t="s">
        <v>7</v>
      </c>
      <c r="B6" s="3" t="s">
        <v>24</v>
      </c>
      <c r="C6" s="3" t="s">
        <v>25</v>
      </c>
      <c r="D6" s="4" t="s">
        <v>26</v>
      </c>
      <c r="E6" s="3" t="s">
        <v>27</v>
      </c>
      <c r="F6" s="3">
        <v>5.0</v>
      </c>
      <c r="G6" s="3" t="str">
        <f>VLOOKUP('250725_oplr_r2_rerun_pickorder'!B6,isaac_plate_layout!$B$1:$E$45,4,FALSE)</f>
        <v>A4</v>
      </c>
    </row>
    <row r="7" ht="15.75" customHeight="1">
      <c r="A7" s="3" t="s">
        <v>7</v>
      </c>
      <c r="B7" s="3" t="s">
        <v>28</v>
      </c>
      <c r="C7" s="3" t="s">
        <v>29</v>
      </c>
      <c r="D7" s="4" t="s">
        <v>30</v>
      </c>
      <c r="E7" s="3" t="s">
        <v>31</v>
      </c>
      <c r="F7" s="3">
        <v>6.0</v>
      </c>
      <c r="G7" s="3" t="str">
        <f>VLOOKUP('250725_oplr_r2_rerun_pickorder'!B7,isaac_plate_layout!$B$1:$E$45,4,FALSE)</f>
        <v>A5</v>
      </c>
    </row>
    <row r="8" ht="15.75" customHeight="1">
      <c r="A8" s="3" t="s">
        <v>7</v>
      </c>
      <c r="B8" s="3" t="s">
        <v>32</v>
      </c>
      <c r="C8" s="3" t="s">
        <v>33</v>
      </c>
      <c r="D8" s="4" t="s">
        <v>34</v>
      </c>
      <c r="E8" s="3" t="s">
        <v>35</v>
      </c>
      <c r="F8" s="3">
        <v>7.0</v>
      </c>
      <c r="G8" s="3" t="str">
        <f>VLOOKUP('250725_oplr_r2_rerun_pickorder'!B8,isaac_plate_layout!$B$1:$E$45,4,FALSE)</f>
        <v>A6</v>
      </c>
    </row>
    <row r="9" ht="15.75" customHeight="1">
      <c r="A9" s="3" t="s">
        <v>7</v>
      </c>
      <c r="B9" s="3" t="s">
        <v>36</v>
      </c>
      <c r="C9" s="3" t="s">
        <v>37</v>
      </c>
      <c r="D9" s="4" t="s">
        <v>38</v>
      </c>
      <c r="E9" s="3" t="s">
        <v>39</v>
      </c>
      <c r="F9" s="3">
        <v>8.0</v>
      </c>
      <c r="G9" s="3" t="str">
        <f>VLOOKUP('250725_oplr_r2_rerun_pickorder'!B9,isaac_plate_layout!$B$1:$E$45,4,FALSE)</f>
        <v>A7</v>
      </c>
    </row>
    <row r="10" ht="15.75" customHeight="1">
      <c r="A10" s="5" t="s">
        <v>7</v>
      </c>
      <c r="B10" s="5" t="s">
        <v>40</v>
      </c>
      <c r="C10" s="5" t="s">
        <v>41</v>
      </c>
      <c r="D10" s="6" t="s">
        <v>42</v>
      </c>
      <c r="E10" s="5" t="s">
        <v>43</v>
      </c>
      <c r="F10" s="5">
        <v>9.0</v>
      </c>
      <c r="G10" s="5" t="str">
        <f>VLOOKUP('250725_oplr_r2_rerun_pickorder'!B10,isaac_plate_layout!$B$1:$E$45,4,FALSE)</f>
        <v>D6</v>
      </c>
    </row>
    <row r="11" ht="15.75" customHeight="1">
      <c r="A11" s="7" t="s">
        <v>7</v>
      </c>
      <c r="B11" s="7" t="s">
        <v>44</v>
      </c>
      <c r="C11" s="7" t="s">
        <v>45</v>
      </c>
      <c r="D11" s="8" t="s">
        <v>46</v>
      </c>
      <c r="E11" s="7" t="s">
        <v>47</v>
      </c>
      <c r="G11" s="7" t="str">
        <f>VLOOKUP('250725_oplr_r2_rerun_pickorder'!B11,isaac_plate_layout!$B$1:$E$45,4,FALSE)</f>
        <v>#N/A</v>
      </c>
    </row>
    <row r="12" ht="15.75" customHeight="1">
      <c r="A12" s="7" t="s">
        <v>7</v>
      </c>
      <c r="B12" s="7" t="s">
        <v>48</v>
      </c>
      <c r="C12" s="7" t="s">
        <v>49</v>
      </c>
      <c r="D12" s="8" t="s">
        <v>50</v>
      </c>
      <c r="E12" s="7" t="s">
        <v>51</v>
      </c>
      <c r="G12" s="7" t="str">
        <f>VLOOKUP('250725_oplr_r2_rerun_pickorder'!B12,isaac_plate_layout!$B$1:$E$45,4,FALSE)</f>
        <v>#N/A</v>
      </c>
    </row>
    <row r="13" ht="15.75" customHeight="1">
      <c r="A13" s="5" t="s">
        <v>7</v>
      </c>
      <c r="B13" s="5" t="s">
        <v>52</v>
      </c>
      <c r="C13" s="5" t="s">
        <v>53</v>
      </c>
      <c r="D13" s="6" t="s">
        <v>54</v>
      </c>
      <c r="E13" s="5" t="s">
        <v>55</v>
      </c>
      <c r="F13" s="5">
        <v>10.0</v>
      </c>
      <c r="G13" s="5" t="str">
        <f>VLOOKUP('250725_oplr_r2_rerun_pickorder'!B13,isaac_plate_layout!$B$1:$E$45,4,FALSE)</f>
        <v>A8</v>
      </c>
    </row>
    <row r="14" ht="15.75" customHeight="1">
      <c r="A14" s="5" t="s">
        <v>7</v>
      </c>
      <c r="B14" s="5" t="s">
        <v>56</v>
      </c>
      <c r="C14" s="5" t="s">
        <v>57</v>
      </c>
      <c r="D14" s="6" t="s">
        <v>58</v>
      </c>
      <c r="E14" s="5" t="s">
        <v>59</v>
      </c>
      <c r="F14" s="5">
        <v>11.0</v>
      </c>
      <c r="G14" s="5" t="str">
        <f>VLOOKUP('250725_oplr_r2_rerun_pickorder'!B14,isaac_plate_layout!$B$1:$E$45,4,FALSE)</f>
        <v>A9</v>
      </c>
    </row>
    <row r="15" ht="15.75" customHeight="1">
      <c r="A15" s="5" t="s">
        <v>7</v>
      </c>
      <c r="B15" s="5" t="s">
        <v>60</v>
      </c>
      <c r="C15" s="5" t="s">
        <v>61</v>
      </c>
      <c r="D15" s="6" t="s">
        <v>62</v>
      </c>
      <c r="E15" s="5" t="s">
        <v>63</v>
      </c>
      <c r="F15" s="5">
        <v>12.0</v>
      </c>
      <c r="G15" s="5" t="str">
        <f>VLOOKUP('250725_oplr_r2_rerun_pickorder'!B15,isaac_plate_layout!$B$1:$E$45,4,FALSE)</f>
        <v>D7</v>
      </c>
    </row>
    <row r="16" ht="15.75" customHeight="1">
      <c r="A16" s="5" t="s">
        <v>7</v>
      </c>
      <c r="B16" s="5" t="s">
        <v>64</v>
      </c>
      <c r="C16" s="5" t="s">
        <v>65</v>
      </c>
      <c r="D16" s="6" t="s">
        <v>66</v>
      </c>
      <c r="E16" s="5" t="s">
        <v>67</v>
      </c>
      <c r="F16" s="5">
        <v>13.0</v>
      </c>
      <c r="G16" s="5" t="str">
        <f>VLOOKUP('250725_oplr_r2_rerun_pickorder'!B16,isaac_plate_layout!$B$1:$E$45,4,FALSE)</f>
        <v>A10</v>
      </c>
    </row>
    <row r="17" ht="15.75" customHeight="1">
      <c r="A17" s="5" t="s">
        <v>7</v>
      </c>
      <c r="B17" s="5" t="s">
        <v>68</v>
      </c>
      <c r="C17" s="5" t="s">
        <v>69</v>
      </c>
      <c r="D17" s="6" t="s">
        <v>70</v>
      </c>
      <c r="E17" s="5" t="s">
        <v>71</v>
      </c>
      <c r="F17" s="5">
        <v>14.0</v>
      </c>
      <c r="G17" s="5" t="str">
        <f>VLOOKUP('250725_oplr_r2_rerun_pickorder'!B17,isaac_plate_layout!$B$1:$E$45,4,FALSE)</f>
        <v>A12</v>
      </c>
    </row>
    <row r="18" ht="15.75" customHeight="1">
      <c r="A18" s="5" t="s">
        <v>7</v>
      </c>
      <c r="B18" s="5" t="s">
        <v>72</v>
      </c>
      <c r="C18" s="5" t="s">
        <v>73</v>
      </c>
      <c r="D18" s="6" t="s">
        <v>74</v>
      </c>
      <c r="E18" s="5" t="s">
        <v>75</v>
      </c>
      <c r="F18" s="5">
        <v>15.0</v>
      </c>
      <c r="G18" s="5" t="str">
        <f>VLOOKUP('250725_oplr_r2_rerun_pickorder'!B18,isaac_plate_layout!$B$1:$E$45,4,FALSE)</f>
        <v>B1</v>
      </c>
    </row>
    <row r="19" ht="15.75" customHeight="1">
      <c r="A19" s="5" t="s">
        <v>7</v>
      </c>
      <c r="B19" s="5" t="s">
        <v>76</v>
      </c>
      <c r="C19" s="5" t="s">
        <v>77</v>
      </c>
      <c r="D19" s="6" t="s">
        <v>78</v>
      </c>
      <c r="E19" s="5" t="s">
        <v>79</v>
      </c>
      <c r="F19" s="5">
        <v>16.0</v>
      </c>
      <c r="G19" s="5" t="str">
        <f>VLOOKUP('250725_oplr_r2_rerun_pickorder'!B19,isaac_plate_layout!$B$1:$E$45,4,FALSE)</f>
        <v>B2</v>
      </c>
    </row>
    <row r="20" ht="15.75" customHeight="1">
      <c r="A20" s="3" t="s">
        <v>7</v>
      </c>
      <c r="B20" s="3" t="s">
        <v>80</v>
      </c>
      <c r="C20" s="3" t="s">
        <v>81</v>
      </c>
      <c r="D20" s="4" t="s">
        <v>82</v>
      </c>
      <c r="E20" s="3" t="s">
        <v>83</v>
      </c>
      <c r="F20" s="3">
        <v>17.0</v>
      </c>
      <c r="G20" s="3" t="str">
        <f>VLOOKUP('250725_oplr_r2_rerun_pickorder'!B20,isaac_plate_layout!$B$1:$E$45,4,FALSE)</f>
        <v>B3</v>
      </c>
    </row>
    <row r="21" ht="15.75" customHeight="1">
      <c r="A21" s="7" t="s">
        <v>7</v>
      </c>
      <c r="B21" s="7" t="s">
        <v>84</v>
      </c>
      <c r="C21" s="7" t="s">
        <v>85</v>
      </c>
      <c r="D21" s="8" t="s">
        <v>86</v>
      </c>
      <c r="E21" s="7" t="s">
        <v>87</v>
      </c>
      <c r="G21" s="7" t="str">
        <f>VLOOKUP('250725_oplr_r2_rerun_pickorder'!B21,isaac_plate_layout!$B$1:$E$45,4,FALSE)</f>
        <v>#N/A</v>
      </c>
    </row>
    <row r="22" ht="15.75" customHeight="1">
      <c r="A22" s="3" t="s">
        <v>7</v>
      </c>
      <c r="B22" s="3" t="s">
        <v>88</v>
      </c>
      <c r="C22" s="3" t="s">
        <v>89</v>
      </c>
      <c r="D22" s="4" t="s">
        <v>90</v>
      </c>
      <c r="E22" s="3" t="s">
        <v>91</v>
      </c>
      <c r="F22" s="3">
        <v>18.0</v>
      </c>
      <c r="G22" s="3" t="str">
        <f>VLOOKUP('250725_oplr_r2_rerun_pickorder'!B22,isaac_plate_layout!$B$1:$E$45,4,FALSE)</f>
        <v>B4</v>
      </c>
    </row>
    <row r="23" ht="15.75" customHeight="1">
      <c r="A23" s="3" t="s">
        <v>7</v>
      </c>
      <c r="B23" s="3" t="s">
        <v>92</v>
      </c>
      <c r="C23" s="3" t="s">
        <v>93</v>
      </c>
      <c r="D23" s="4" t="s">
        <v>94</v>
      </c>
      <c r="E23" s="3" t="s">
        <v>95</v>
      </c>
      <c r="F23" s="3">
        <v>19.0</v>
      </c>
      <c r="G23" s="3" t="str">
        <f>VLOOKUP('250725_oplr_r2_rerun_pickorder'!B23,isaac_plate_layout!$B$1:$E$45,4,FALSE)</f>
        <v>B5</v>
      </c>
    </row>
    <row r="24" ht="15.75" customHeight="1">
      <c r="A24" s="3" t="s">
        <v>7</v>
      </c>
      <c r="B24" s="3" t="s">
        <v>96</v>
      </c>
      <c r="C24" s="3" t="s">
        <v>97</v>
      </c>
      <c r="D24" s="4" t="s">
        <v>98</v>
      </c>
      <c r="E24" s="3" t="s">
        <v>99</v>
      </c>
      <c r="F24" s="3">
        <v>20.0</v>
      </c>
      <c r="G24" s="3" t="str">
        <f>VLOOKUP('250725_oplr_r2_rerun_pickorder'!B24,isaac_plate_layout!$B$1:$E$45,4,FALSE)</f>
        <v>B6</v>
      </c>
    </row>
    <row r="25" ht="15.75" customHeight="1">
      <c r="A25" s="3" t="s">
        <v>7</v>
      </c>
      <c r="B25" s="3" t="s">
        <v>100</v>
      </c>
      <c r="C25" s="3" t="s">
        <v>101</v>
      </c>
      <c r="D25" s="4" t="s">
        <v>102</v>
      </c>
      <c r="E25" s="3" t="s">
        <v>103</v>
      </c>
      <c r="F25" s="3">
        <v>21.0</v>
      </c>
      <c r="G25" s="3" t="str">
        <f>VLOOKUP('250725_oplr_r2_rerun_pickorder'!B25,isaac_plate_layout!$B$1:$E$45,4,FALSE)</f>
        <v>B7</v>
      </c>
    </row>
    <row r="26" ht="15.75" customHeight="1">
      <c r="A26" s="3" t="s">
        <v>7</v>
      </c>
      <c r="B26" s="3" t="s">
        <v>104</v>
      </c>
      <c r="C26" s="3" t="s">
        <v>105</v>
      </c>
      <c r="D26" s="4" t="s">
        <v>106</v>
      </c>
      <c r="E26" s="3" t="s">
        <v>107</v>
      </c>
      <c r="F26" s="3">
        <v>22.0</v>
      </c>
      <c r="G26" s="3" t="str">
        <f>VLOOKUP('250725_oplr_r2_rerun_pickorder'!B26,isaac_plate_layout!$B$1:$E$45,4,FALSE)</f>
        <v>B8</v>
      </c>
    </row>
    <row r="27" ht="15.75" customHeight="1">
      <c r="A27" s="7" t="s">
        <v>7</v>
      </c>
      <c r="B27" s="7" t="s">
        <v>108</v>
      </c>
      <c r="C27" s="7" t="s">
        <v>109</v>
      </c>
      <c r="D27" s="8" t="s">
        <v>110</v>
      </c>
      <c r="E27" s="7" t="s">
        <v>111</v>
      </c>
      <c r="G27" s="7" t="str">
        <f>VLOOKUP('250725_oplr_r2_rerun_pickorder'!B27,isaac_plate_layout!$B$1:$E$45,4,FALSE)</f>
        <v>#N/A</v>
      </c>
    </row>
    <row r="28" ht="15.75" customHeight="1">
      <c r="A28" s="3" t="s">
        <v>7</v>
      </c>
      <c r="B28" s="3" t="s">
        <v>112</v>
      </c>
      <c r="C28" s="3" t="s">
        <v>113</v>
      </c>
      <c r="D28" s="4" t="s">
        <v>114</v>
      </c>
      <c r="E28" s="3" t="s">
        <v>115</v>
      </c>
      <c r="F28" s="3">
        <v>23.0</v>
      </c>
      <c r="G28" s="3" t="str">
        <f>VLOOKUP('250725_oplr_r2_rerun_pickorder'!B28,isaac_plate_layout!$B$1:$E$45,4,FALSE)</f>
        <v>B10</v>
      </c>
    </row>
    <row r="29" ht="15.75" customHeight="1">
      <c r="A29" s="3" t="s">
        <v>7</v>
      </c>
      <c r="B29" s="3" t="s">
        <v>116</v>
      </c>
      <c r="C29" s="3" t="s">
        <v>117</v>
      </c>
      <c r="D29" s="4" t="s">
        <v>118</v>
      </c>
      <c r="E29" s="3" t="s">
        <v>119</v>
      </c>
      <c r="F29" s="3">
        <v>24.0</v>
      </c>
      <c r="G29" s="3" t="str">
        <f>VLOOKUP('250725_oplr_r2_rerun_pickorder'!B29,isaac_plate_layout!$B$1:$E$45,4,FALSE)</f>
        <v>B11</v>
      </c>
    </row>
    <row r="30" ht="15.75" customHeight="1">
      <c r="A30" s="5" t="s">
        <v>7</v>
      </c>
      <c r="B30" s="5" t="s">
        <v>120</v>
      </c>
      <c r="C30" s="5" t="s">
        <v>121</v>
      </c>
      <c r="D30" s="6" t="s">
        <v>122</v>
      </c>
      <c r="E30" s="5" t="s">
        <v>123</v>
      </c>
      <c r="F30" s="5">
        <v>25.0</v>
      </c>
      <c r="G30" s="5" t="str">
        <f>VLOOKUP('250725_oplr_r2_rerun_pickorder'!B30,isaac_plate_layout!$B$1:$E$45,4,FALSE)</f>
        <v>B12</v>
      </c>
    </row>
    <row r="31" ht="15.75" customHeight="1">
      <c r="A31" s="5" t="s">
        <v>7</v>
      </c>
      <c r="B31" s="5" t="s">
        <v>124</v>
      </c>
      <c r="C31" s="5" t="s">
        <v>125</v>
      </c>
      <c r="D31" s="6" t="s">
        <v>126</v>
      </c>
      <c r="E31" s="5" t="s">
        <v>127</v>
      </c>
      <c r="F31" s="5">
        <v>26.0</v>
      </c>
      <c r="G31" s="5" t="str">
        <f>VLOOKUP('250725_oplr_r2_rerun_pickorder'!B31,isaac_plate_layout!$B$1:$E$45,4,FALSE)</f>
        <v>C1</v>
      </c>
    </row>
    <row r="32" ht="15.75" customHeight="1">
      <c r="A32" s="7" t="s">
        <v>7</v>
      </c>
      <c r="B32" s="7" t="s">
        <v>128</v>
      </c>
      <c r="C32" s="7" t="s">
        <v>129</v>
      </c>
      <c r="D32" s="8" t="s">
        <v>130</v>
      </c>
      <c r="E32" s="7" t="s">
        <v>131</v>
      </c>
      <c r="G32" s="7" t="str">
        <f>VLOOKUP('250725_oplr_r2_rerun_pickorder'!B32,isaac_plate_layout!$B$1:$E$45,4,FALSE)</f>
        <v>#N/A</v>
      </c>
    </row>
    <row r="33" ht="15.75" customHeight="1">
      <c r="A33" s="7" t="s">
        <v>7</v>
      </c>
      <c r="B33" s="7" t="s">
        <v>132</v>
      </c>
      <c r="C33" s="7" t="s">
        <v>133</v>
      </c>
      <c r="D33" s="8" t="s">
        <v>134</v>
      </c>
      <c r="E33" s="7" t="s">
        <v>135</v>
      </c>
      <c r="G33" s="7" t="str">
        <f>VLOOKUP('250725_oplr_r2_rerun_pickorder'!B33,isaac_plate_layout!$B$1:$E$45,4,FALSE)</f>
        <v>#N/A</v>
      </c>
    </row>
    <row r="34" ht="15.75" customHeight="1">
      <c r="A34" s="5" t="s">
        <v>7</v>
      </c>
      <c r="B34" s="5" t="s">
        <v>136</v>
      </c>
      <c r="C34" s="5" t="s">
        <v>137</v>
      </c>
      <c r="D34" s="6" t="s">
        <v>138</v>
      </c>
      <c r="E34" s="5" t="s">
        <v>139</v>
      </c>
      <c r="F34" s="5">
        <v>27.0</v>
      </c>
      <c r="G34" s="5" t="str">
        <f>VLOOKUP('250725_oplr_r2_rerun_pickorder'!B34,isaac_plate_layout!$B$1:$E$45,4,FALSE)</f>
        <v>D9</v>
      </c>
    </row>
    <row r="35" ht="15.75" customHeight="1">
      <c r="A35" s="5" t="s">
        <v>7</v>
      </c>
      <c r="B35" s="5" t="s">
        <v>140</v>
      </c>
      <c r="C35" s="5" t="s">
        <v>141</v>
      </c>
      <c r="D35" s="6" t="s">
        <v>142</v>
      </c>
      <c r="E35" s="5" t="s">
        <v>143</v>
      </c>
      <c r="F35" s="5">
        <v>28.0</v>
      </c>
      <c r="G35" s="5" t="str">
        <f>VLOOKUP('250725_oplr_r2_rerun_pickorder'!B35,isaac_plate_layout!$B$1:$E$45,4,FALSE)</f>
        <v>C4</v>
      </c>
    </row>
    <row r="36" ht="15.75" customHeight="1">
      <c r="A36" s="7" t="s">
        <v>7</v>
      </c>
      <c r="B36" s="7" t="s">
        <v>144</v>
      </c>
      <c r="C36" s="7" t="s">
        <v>145</v>
      </c>
      <c r="D36" s="8" t="s">
        <v>146</v>
      </c>
      <c r="E36" s="7" t="s">
        <v>147</v>
      </c>
      <c r="G36" s="7" t="str">
        <f>VLOOKUP('250725_oplr_r2_rerun_pickorder'!B36,isaac_plate_layout!$B$1:$E$45,4,FALSE)</f>
        <v>#N/A</v>
      </c>
    </row>
    <row r="37" ht="15.75" customHeight="1">
      <c r="A37" s="5" t="s">
        <v>7</v>
      </c>
      <c r="B37" s="5" t="s">
        <v>148</v>
      </c>
      <c r="C37" s="5" t="s">
        <v>149</v>
      </c>
      <c r="D37" s="6" t="s">
        <v>150</v>
      </c>
      <c r="E37" s="5" t="s">
        <v>151</v>
      </c>
      <c r="F37" s="5">
        <v>29.0</v>
      </c>
      <c r="G37" s="5" t="str">
        <f>VLOOKUP('250725_oplr_r2_rerun_pickorder'!B37,isaac_plate_layout!$B$1:$E$45,4,FALSE)</f>
        <v>C5</v>
      </c>
    </row>
    <row r="38" ht="15.75" customHeight="1">
      <c r="A38" s="5" t="s">
        <v>7</v>
      </c>
      <c r="B38" s="5" t="s">
        <v>152</v>
      </c>
      <c r="C38" s="5" t="s">
        <v>153</v>
      </c>
      <c r="D38" s="6" t="s">
        <v>154</v>
      </c>
      <c r="E38" s="5" t="s">
        <v>155</v>
      </c>
      <c r="F38" s="5">
        <v>30.0</v>
      </c>
      <c r="G38" s="5" t="str">
        <f>VLOOKUP('250725_oplr_r2_rerun_pickorder'!B38,isaac_plate_layout!$B$1:$E$45,4,FALSE)</f>
        <v>C6</v>
      </c>
    </row>
    <row r="39" ht="15.75" customHeight="1">
      <c r="A39" s="5" t="s">
        <v>7</v>
      </c>
      <c r="B39" s="5" t="s">
        <v>156</v>
      </c>
      <c r="C39" s="5" t="s">
        <v>157</v>
      </c>
      <c r="D39" s="6" t="s">
        <v>158</v>
      </c>
      <c r="E39" s="5" t="s">
        <v>159</v>
      </c>
      <c r="F39" s="5">
        <v>31.0</v>
      </c>
      <c r="G39" s="5" t="str">
        <f>VLOOKUP('250725_oplr_r2_rerun_pickorder'!B39,isaac_plate_layout!$B$1:$E$45,4,FALSE)</f>
        <v>C7</v>
      </c>
    </row>
    <row r="40" ht="15.75" customHeight="1">
      <c r="A40" s="5" t="s">
        <v>7</v>
      </c>
      <c r="B40" s="5" t="s">
        <v>160</v>
      </c>
      <c r="C40" s="5" t="s">
        <v>161</v>
      </c>
      <c r="D40" s="6" t="s">
        <v>162</v>
      </c>
      <c r="E40" s="5" t="s">
        <v>163</v>
      </c>
      <c r="F40" s="5">
        <v>32.0</v>
      </c>
      <c r="G40" s="5" t="str">
        <f>VLOOKUP('250725_oplr_r2_rerun_pickorder'!B40,isaac_plate_layout!$B$1:$E$45,4,FALSE)</f>
        <v>C8</v>
      </c>
    </row>
    <row r="41" ht="15.75" customHeight="1">
      <c r="A41" s="3" t="s">
        <v>7</v>
      </c>
      <c r="B41" s="3" t="s">
        <v>164</v>
      </c>
      <c r="C41" s="3" t="s">
        <v>165</v>
      </c>
      <c r="D41" s="4" t="s">
        <v>166</v>
      </c>
      <c r="E41" s="3" t="s">
        <v>167</v>
      </c>
      <c r="F41" s="3">
        <v>33.0</v>
      </c>
      <c r="G41" s="3" t="str">
        <f>VLOOKUP('250725_oplr_r2_rerun_pickorder'!B41,isaac_plate_layout!$B$1:$E$45,4,FALSE)</f>
        <v>C9</v>
      </c>
    </row>
    <row r="42" ht="15.75" customHeight="1">
      <c r="A42" s="7" t="s">
        <v>7</v>
      </c>
      <c r="B42" s="7" t="s">
        <v>168</v>
      </c>
      <c r="C42" s="7" t="s">
        <v>169</v>
      </c>
      <c r="D42" s="8" t="s">
        <v>170</v>
      </c>
      <c r="E42" s="7" t="s">
        <v>171</v>
      </c>
      <c r="G42" s="7" t="str">
        <f>VLOOKUP('250725_oplr_r2_rerun_pickorder'!B42,isaac_plate_layout!$B$1:$E$45,4,FALSE)</f>
        <v>#N/A</v>
      </c>
    </row>
    <row r="43" ht="15.75" customHeight="1">
      <c r="A43" s="3" t="s">
        <v>7</v>
      </c>
      <c r="B43" s="3" t="s">
        <v>172</v>
      </c>
      <c r="C43" s="3" t="s">
        <v>173</v>
      </c>
      <c r="D43" s="4" t="s">
        <v>174</v>
      </c>
      <c r="E43" s="3" t="s">
        <v>175</v>
      </c>
      <c r="F43" s="3">
        <v>34.0</v>
      </c>
      <c r="G43" s="3" t="str">
        <f>VLOOKUP('250725_oplr_r2_rerun_pickorder'!B43,isaac_plate_layout!$B$1:$E$45,4,FALSE)</f>
        <v>C10</v>
      </c>
    </row>
    <row r="44" ht="15.75" customHeight="1">
      <c r="A44" s="3" t="s">
        <v>7</v>
      </c>
      <c r="B44" s="3" t="s">
        <v>176</v>
      </c>
      <c r="C44" s="3" t="s">
        <v>177</v>
      </c>
      <c r="D44" s="4" t="s">
        <v>178</v>
      </c>
      <c r="E44" s="3" t="s">
        <v>179</v>
      </c>
      <c r="F44" s="3">
        <v>35.0</v>
      </c>
      <c r="G44" s="3" t="str">
        <f>VLOOKUP('250725_oplr_r2_rerun_pickorder'!B44,isaac_plate_layout!$B$1:$E$45,4,FALSE)</f>
        <v>C11</v>
      </c>
    </row>
    <row r="45" ht="15.75" customHeight="1">
      <c r="A45" s="3" t="s">
        <v>7</v>
      </c>
      <c r="B45" s="3" t="s">
        <v>180</v>
      </c>
      <c r="C45" s="3" t="s">
        <v>181</v>
      </c>
      <c r="D45" s="4" t="s">
        <v>182</v>
      </c>
      <c r="E45" s="3" t="s">
        <v>183</v>
      </c>
      <c r="F45" s="3">
        <v>36.0</v>
      </c>
      <c r="G45" s="3" t="str">
        <f>VLOOKUP('250725_oplr_r2_rerun_pickorder'!B45,isaac_plate_layout!$B$1:$E$45,4,FALSE)</f>
        <v>C12</v>
      </c>
    </row>
    <row r="46" ht="15.75" customHeight="1">
      <c r="A46" s="7" t="s">
        <v>7</v>
      </c>
      <c r="B46" s="7" t="s">
        <v>184</v>
      </c>
      <c r="C46" s="7" t="s">
        <v>185</v>
      </c>
      <c r="D46" s="8" t="s">
        <v>186</v>
      </c>
      <c r="E46" s="7" t="s">
        <v>187</v>
      </c>
      <c r="G46" s="7" t="str">
        <f>VLOOKUP('250725_oplr_r2_rerun_pickorder'!B46,isaac_plate_layout!$B$1:$E$45,4,FALSE)</f>
        <v>#N/A</v>
      </c>
    </row>
    <row r="47" ht="15.75" customHeight="1">
      <c r="A47" s="3" t="s">
        <v>7</v>
      </c>
      <c r="B47" s="3" t="s">
        <v>188</v>
      </c>
      <c r="C47" s="3" t="s">
        <v>189</v>
      </c>
      <c r="D47" s="4" t="s">
        <v>190</v>
      </c>
      <c r="E47" s="3" t="s">
        <v>191</v>
      </c>
      <c r="F47" s="3">
        <v>37.0</v>
      </c>
      <c r="G47" s="3" t="str">
        <f>VLOOKUP('250725_oplr_r2_rerun_pickorder'!B47,isaac_plate_layout!$B$1:$E$45,4,FALSE)</f>
        <v>D1</v>
      </c>
    </row>
    <row r="48" ht="15.75" customHeight="1">
      <c r="A48" s="3" t="s">
        <v>7</v>
      </c>
      <c r="B48" s="3" t="s">
        <v>192</v>
      </c>
      <c r="C48" s="3" t="s">
        <v>193</v>
      </c>
      <c r="D48" s="4" t="s">
        <v>194</v>
      </c>
      <c r="E48" s="3" t="s">
        <v>195</v>
      </c>
      <c r="F48" s="3">
        <v>38.0</v>
      </c>
      <c r="G48" s="3" t="str">
        <f>VLOOKUP('250725_oplr_r2_rerun_pickorder'!B48,isaac_plate_layout!$B$1:$E$45,4,FALSE)</f>
        <v>D2</v>
      </c>
    </row>
    <row r="49" ht="15.75" customHeight="1">
      <c r="A49" s="3" t="s">
        <v>7</v>
      </c>
      <c r="B49" s="3" t="s">
        <v>196</v>
      </c>
      <c r="C49" s="3" t="s">
        <v>197</v>
      </c>
      <c r="D49" s="4" t="s">
        <v>198</v>
      </c>
      <c r="E49" s="3" t="s">
        <v>199</v>
      </c>
      <c r="F49" s="3">
        <v>39.0</v>
      </c>
      <c r="G49" s="3" t="str">
        <f>VLOOKUP('250725_oplr_r2_rerun_pickorder'!B49,isaac_plate_layout!$B$1:$E$45,4,FALSE)</f>
        <v>D3</v>
      </c>
    </row>
    <row r="50" ht="15.75" customHeight="1">
      <c r="A50" s="3" t="s">
        <v>7</v>
      </c>
      <c r="B50" s="9" t="s">
        <v>200</v>
      </c>
      <c r="C50" s="10" t="s">
        <v>201</v>
      </c>
      <c r="D50" s="10" t="s">
        <v>202</v>
      </c>
      <c r="E50" s="10" t="s">
        <v>203</v>
      </c>
      <c r="F50" s="10">
        <v>40.0</v>
      </c>
      <c r="G50" s="3" t="str">
        <f>VLOOKUP('250725_oplr_r2_rerun_pickorder'!B50,isaac_plate_layout!$B$1:$E$45,4,FALSE)</f>
        <v>B9</v>
      </c>
    </row>
    <row r="51" ht="15.75" customHeight="1">
      <c r="A51" s="5" t="s">
        <v>7</v>
      </c>
      <c r="B51" s="11" t="s">
        <v>204</v>
      </c>
      <c r="C51" s="12" t="s">
        <v>205</v>
      </c>
      <c r="D51" s="12" t="s">
        <v>206</v>
      </c>
      <c r="E51" s="12" t="s">
        <v>207</v>
      </c>
      <c r="F51" s="12">
        <v>41.0</v>
      </c>
      <c r="G51" s="13" t="str">
        <f>VLOOKUP('250725_oplr_r2_rerun_pickorder'!B51,isaac_plate_layout!$B$1:$E$45,4,FALSE)</f>
        <v>#N/A</v>
      </c>
    </row>
    <row r="52" ht="15.75" customHeight="1">
      <c r="A52" s="5" t="s">
        <v>7</v>
      </c>
      <c r="B52" s="11" t="s">
        <v>208</v>
      </c>
      <c r="C52" s="14" t="s">
        <v>209</v>
      </c>
      <c r="D52" s="12" t="s">
        <v>210</v>
      </c>
      <c r="E52" s="12" t="s">
        <v>211</v>
      </c>
      <c r="F52" s="12">
        <v>42.0</v>
      </c>
      <c r="G52" s="13" t="str">
        <f>VLOOKUP('250725_oplr_r2_rerun_pickorder'!B52,isaac_plate_layout!$B$1:$E$45,4,FALSE)</f>
        <v>#N/A</v>
      </c>
    </row>
    <row r="53" ht="15.75" customHeight="1">
      <c r="A53" s="5" t="s">
        <v>7</v>
      </c>
      <c r="B53" s="15" t="s">
        <v>212</v>
      </c>
      <c r="C53" s="12" t="s">
        <v>213</v>
      </c>
      <c r="D53" s="12" t="s">
        <v>214</v>
      </c>
      <c r="E53" s="12" t="s">
        <v>214</v>
      </c>
      <c r="G53" s="16" t="str">
        <f>VLOOKUP('250725_oplr_r2_rerun_pickorder'!B53,isaac_plate_layout!$B$1:$E$45,4,FALSE)</f>
        <v>D4</v>
      </c>
    </row>
    <row r="54" ht="15.75" customHeight="1">
      <c r="A54" s="5" t="s">
        <v>7</v>
      </c>
      <c r="B54" s="8" t="s">
        <v>215</v>
      </c>
      <c r="C54" s="12" t="s">
        <v>213</v>
      </c>
      <c r="F54" s="12">
        <v>43.0</v>
      </c>
    </row>
    <row r="55" ht="15.75" customHeight="1">
      <c r="A55" s="5" t="s">
        <v>7</v>
      </c>
      <c r="B55" s="8" t="s">
        <v>216</v>
      </c>
      <c r="C55" s="12" t="s">
        <v>213</v>
      </c>
      <c r="F55" s="12">
        <v>44.0</v>
      </c>
    </row>
    <row r="56" ht="15.75" customHeight="1">
      <c r="A56" s="5" t="s">
        <v>7</v>
      </c>
      <c r="B56" s="8" t="s">
        <v>217</v>
      </c>
      <c r="C56" s="12" t="s">
        <v>213</v>
      </c>
      <c r="F56" s="12">
        <v>45.0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5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0.78"/>
    <col customWidth="1" min="3" max="26" width="10.56"/>
  </cols>
  <sheetData>
    <row r="1" ht="15.75" customHeight="1">
      <c r="A1" s="7">
        <v>1.0</v>
      </c>
      <c r="B1" s="7" t="s">
        <v>8</v>
      </c>
      <c r="C1" s="7" t="str">
        <f>VLOOKUP(B1,'250725_oplr_r2_rerun_pickorder'!$B$2:$E$49,3,FALSE)</f>
        <v>Plate1.A3</v>
      </c>
      <c r="E1" s="7" t="s">
        <v>218</v>
      </c>
    </row>
    <row r="2" ht="15.75" customHeight="1">
      <c r="A2" s="7">
        <v>2.0</v>
      </c>
      <c r="B2" s="7" t="s">
        <v>16</v>
      </c>
      <c r="C2" s="7" t="str">
        <f>VLOOKUP(B2,'250725_oplr_r2_rerun_pickorder'!$B$2:$E$49,3,FALSE)</f>
        <v>Plate1.A9</v>
      </c>
      <c r="E2" s="7" t="s">
        <v>219</v>
      </c>
    </row>
    <row r="3" ht="15.75" customHeight="1">
      <c r="A3" s="7">
        <v>3.0</v>
      </c>
      <c r="B3" s="7" t="s">
        <v>20</v>
      </c>
      <c r="C3" s="7" t="str">
        <f>VLOOKUP(B3,'250725_oplr_r2_rerun_pickorder'!$B$2:$E$49,3,FALSE)</f>
        <v>Plate1.A10</v>
      </c>
      <c r="E3" s="7" t="s">
        <v>11</v>
      </c>
    </row>
    <row r="4" ht="15.75" customHeight="1">
      <c r="A4" s="7">
        <v>4.0</v>
      </c>
      <c r="B4" s="7" t="s">
        <v>24</v>
      </c>
      <c r="C4" s="7" t="str">
        <f>VLOOKUP(B4,'250725_oplr_r2_rerun_pickorder'!$B$2:$E$49,3,FALSE)</f>
        <v>Plate1.A12</v>
      </c>
      <c r="E4" s="7" t="s">
        <v>220</v>
      </c>
    </row>
    <row r="5" ht="15.75" customHeight="1">
      <c r="A5" s="7">
        <v>5.0</v>
      </c>
      <c r="B5" s="7" t="s">
        <v>28</v>
      </c>
      <c r="C5" s="7" t="str">
        <f>VLOOKUP(B5,'250725_oplr_r2_rerun_pickorder'!$B$2:$E$49,3,FALSE)</f>
        <v>Plate1.C1</v>
      </c>
      <c r="E5" s="7" t="s">
        <v>221</v>
      </c>
    </row>
    <row r="6" ht="15.75" customHeight="1">
      <c r="A6" s="7">
        <v>6.0</v>
      </c>
      <c r="B6" s="7" t="s">
        <v>32</v>
      </c>
      <c r="C6" s="7" t="str">
        <f>VLOOKUP(B6,'250725_oplr_r2_rerun_pickorder'!$B$2:$E$49,3,FALSE)</f>
        <v>Plate1.C2</v>
      </c>
      <c r="E6" s="7" t="s">
        <v>222</v>
      </c>
    </row>
    <row r="7" ht="15.75" customHeight="1">
      <c r="A7" s="7">
        <v>7.0</v>
      </c>
      <c r="B7" s="7" t="s">
        <v>36</v>
      </c>
      <c r="C7" s="7" t="str">
        <f>VLOOKUP(B7,'250725_oplr_r2_rerun_pickorder'!$B$2:$E$49,3,FALSE)</f>
        <v>Plate1.C3</v>
      </c>
      <c r="E7" s="7" t="s">
        <v>223</v>
      </c>
    </row>
    <row r="8" ht="15.75" customHeight="1">
      <c r="A8" s="7">
        <v>8.0</v>
      </c>
      <c r="B8" s="7" t="s">
        <v>52</v>
      </c>
      <c r="C8" s="7" t="str">
        <f>VLOOKUP(B8,'250725_oplr_r2_rerun_pickorder'!$B$2:$E$49,3,FALSE)</f>
        <v>Plate1.C8</v>
      </c>
      <c r="E8" s="7" t="s">
        <v>224</v>
      </c>
    </row>
    <row r="9" ht="15.75" customHeight="1">
      <c r="A9" s="7">
        <v>9.0</v>
      </c>
      <c r="B9" s="7" t="s">
        <v>56</v>
      </c>
      <c r="C9" s="7" t="str">
        <f>VLOOKUP(B9,'250725_oplr_r2_rerun_pickorder'!$B$2:$E$49,3,FALSE)</f>
        <v>Plate1.C9</v>
      </c>
      <c r="E9" s="7" t="s">
        <v>19</v>
      </c>
    </row>
    <row r="10" ht="15.75" customHeight="1">
      <c r="A10" s="7">
        <v>10.0</v>
      </c>
      <c r="B10" s="7" t="s">
        <v>64</v>
      </c>
      <c r="C10" s="7" t="str">
        <f>VLOOKUP(B10,'250725_oplr_r2_rerun_pickorder'!$B$2:$E$49,3,FALSE)</f>
        <v>Plate1.C11</v>
      </c>
      <c r="E10" s="7" t="s">
        <v>23</v>
      </c>
    </row>
    <row r="11" ht="15.75" customHeight="1">
      <c r="A11" s="7">
        <v>12.0</v>
      </c>
      <c r="B11" s="7" t="s">
        <v>68</v>
      </c>
      <c r="C11" s="7" t="str">
        <f>VLOOKUP(B11,'250725_oplr_r2_rerun_pickorder'!$B$2:$E$49,3,FALSE)</f>
        <v>Plate1.C12</v>
      </c>
      <c r="E11" s="7" t="s">
        <v>27</v>
      </c>
    </row>
    <row r="12" ht="15.75" customHeight="1">
      <c r="A12" s="7">
        <v>13.0</v>
      </c>
      <c r="B12" s="7" t="s">
        <v>72</v>
      </c>
      <c r="C12" s="7" t="str">
        <f>VLOOKUP(B12,'250725_oplr_r2_rerun_pickorder'!$B$2:$E$49,3,FALSE)</f>
        <v>Plate1.E1</v>
      </c>
      <c r="E12" s="7" t="s">
        <v>31</v>
      </c>
    </row>
    <row r="13" ht="15.75" customHeight="1">
      <c r="A13" s="7">
        <v>14.0</v>
      </c>
      <c r="B13" s="7" t="s">
        <v>76</v>
      </c>
      <c r="C13" s="7" t="str">
        <f>VLOOKUP(B13,'250725_oplr_r2_rerun_pickorder'!$B$2:$E$49,3,FALSE)</f>
        <v>Plate1.E2</v>
      </c>
      <c r="E13" s="7" t="s">
        <v>35</v>
      </c>
    </row>
    <row r="14" ht="15.75" customHeight="1">
      <c r="A14" s="7">
        <v>15.0</v>
      </c>
      <c r="B14" s="7" t="s">
        <v>80</v>
      </c>
      <c r="C14" s="7" t="str">
        <f>VLOOKUP(B14,'250725_oplr_r2_rerun_pickorder'!$B$2:$E$49,3,FALSE)</f>
        <v>Plate1.E3</v>
      </c>
      <c r="E14" s="7" t="s">
        <v>39</v>
      </c>
    </row>
    <row r="15" ht="15.75" customHeight="1">
      <c r="A15" s="7">
        <v>16.0</v>
      </c>
      <c r="B15" s="7" t="s">
        <v>88</v>
      </c>
      <c r="C15" s="7" t="str">
        <f>VLOOKUP(B15,'250725_oplr_r2_rerun_pickorder'!$B$2:$E$49,3,FALSE)</f>
        <v>Plate1.E6</v>
      </c>
      <c r="E15" s="7" t="s">
        <v>225</v>
      </c>
    </row>
    <row r="16" ht="15.75" customHeight="1">
      <c r="A16" s="7">
        <v>17.0</v>
      </c>
      <c r="B16" s="7" t="s">
        <v>92</v>
      </c>
      <c r="C16" s="7" t="str">
        <f>VLOOKUP(B16,'250725_oplr_r2_rerun_pickorder'!$B$2:$E$49,3,FALSE)</f>
        <v>Plate1.E7</v>
      </c>
      <c r="E16" s="7" t="s">
        <v>226</v>
      </c>
    </row>
    <row r="17" ht="15.75" customHeight="1">
      <c r="A17" s="7">
        <v>18.0</v>
      </c>
      <c r="B17" s="7" t="s">
        <v>96</v>
      </c>
      <c r="C17" s="7" t="str">
        <f>VLOOKUP(B17,'250725_oplr_r2_rerun_pickorder'!$B$2:$E$49,3,FALSE)</f>
        <v>Plate1.E9</v>
      </c>
      <c r="E17" s="7" t="s">
        <v>47</v>
      </c>
    </row>
    <row r="18" ht="15.75" customHeight="1">
      <c r="A18" s="7">
        <v>19.0</v>
      </c>
      <c r="B18" s="7" t="s">
        <v>100</v>
      </c>
      <c r="C18" s="7" t="str">
        <f>VLOOKUP(B18,'250725_oplr_r2_rerun_pickorder'!$B$2:$E$49,3,FALSE)</f>
        <v>Plate1.E10</v>
      </c>
      <c r="E18" s="7" t="s">
        <v>51</v>
      </c>
    </row>
    <row r="19" ht="15.75" customHeight="1">
      <c r="A19" s="7">
        <v>20.0</v>
      </c>
      <c r="B19" s="7" t="s">
        <v>104</v>
      </c>
      <c r="C19" s="7" t="str">
        <f>VLOOKUP(B19,'250725_oplr_r2_rerun_pickorder'!$B$2:$E$49,3,FALSE)</f>
        <v>Plate1.E11</v>
      </c>
      <c r="E19" s="7" t="s">
        <v>55</v>
      </c>
    </row>
    <row r="20" ht="15.75" customHeight="1">
      <c r="A20" s="7">
        <v>21.0</v>
      </c>
      <c r="B20" s="7" t="s">
        <v>200</v>
      </c>
      <c r="C20" s="7" t="str">
        <f>VLOOKUP(B20,'250725_oplr_r2_rerun_pickorder'!$B$2:$E$49,3,FALSE)</f>
        <v>#N/A</v>
      </c>
      <c r="E20" s="7" t="s">
        <v>59</v>
      </c>
    </row>
    <row r="21" ht="15.75" customHeight="1">
      <c r="A21" s="7">
        <v>22.0</v>
      </c>
      <c r="B21" s="7" t="s">
        <v>112</v>
      </c>
      <c r="C21" s="7" t="str">
        <f>VLOOKUP(B21,'250725_oplr_r2_rerun_pickorder'!$B$2:$E$49,3,FALSE)</f>
        <v>Plate1.G3</v>
      </c>
      <c r="E21" s="7" t="s">
        <v>227</v>
      </c>
    </row>
    <row r="22" ht="15.75" customHeight="1">
      <c r="A22" s="7">
        <v>23.0</v>
      </c>
      <c r="B22" s="7" t="s">
        <v>116</v>
      </c>
      <c r="C22" s="7" t="str">
        <f>VLOOKUP(B22,'250725_oplr_r2_rerun_pickorder'!$B$2:$E$49,3,FALSE)</f>
        <v>Plate1.G4</v>
      </c>
      <c r="E22" s="7" t="s">
        <v>67</v>
      </c>
    </row>
    <row r="23" ht="15.75" customHeight="1">
      <c r="A23" s="7">
        <v>24.0</v>
      </c>
      <c r="B23" s="7" t="s">
        <v>120</v>
      </c>
      <c r="C23" s="7" t="str">
        <f>VLOOKUP(B23,'250725_oplr_r2_rerun_pickorder'!$B$2:$E$49,3,FALSE)</f>
        <v>Plate1.G6</v>
      </c>
      <c r="E23" s="7" t="s">
        <v>71</v>
      </c>
    </row>
    <row r="24" ht="15.75" customHeight="1">
      <c r="A24" s="7">
        <v>25.0</v>
      </c>
      <c r="B24" s="7" t="s">
        <v>124</v>
      </c>
      <c r="C24" s="7" t="str">
        <f>VLOOKUP(B24,'250725_oplr_r2_rerun_pickorder'!$B$2:$E$49,3,FALSE)</f>
        <v>Plate1.G7</v>
      </c>
      <c r="E24" s="7" t="s">
        <v>75</v>
      </c>
    </row>
    <row r="25" ht="15.75" customHeight="1">
      <c r="A25" s="7">
        <v>26.0</v>
      </c>
      <c r="B25" s="7" t="s">
        <v>228</v>
      </c>
      <c r="C25" s="7" t="str">
        <f>VLOOKUP(B25,'250725_oplr_r2_rerun_pickorder'!$B$2:$E$49,3,FALSE)</f>
        <v>#N/A</v>
      </c>
      <c r="E25" s="7" t="s">
        <v>79</v>
      </c>
    </row>
    <row r="26" ht="15.75" customHeight="1">
      <c r="A26" s="7">
        <v>27.0</v>
      </c>
      <c r="B26" s="7" t="s">
        <v>229</v>
      </c>
      <c r="C26" s="7" t="str">
        <f>VLOOKUP(B26,'250725_oplr_r2_rerun_pickorder'!$B$2:$E$49,3,FALSE)</f>
        <v>#N/A</v>
      </c>
      <c r="E26" s="7" t="s">
        <v>83</v>
      </c>
    </row>
    <row r="27" ht="15.75" customHeight="1">
      <c r="A27" s="7">
        <v>28.0</v>
      </c>
      <c r="B27" s="7" t="s">
        <v>140</v>
      </c>
      <c r="C27" s="7" t="str">
        <f>VLOOKUP(B27,'250725_oplr_r2_rerun_pickorder'!$B$2:$E$49,3,FALSE)</f>
        <v>Plate2.A3</v>
      </c>
      <c r="E27" s="7" t="s">
        <v>230</v>
      </c>
    </row>
    <row r="28" ht="15.75" customHeight="1">
      <c r="A28" s="7">
        <v>29.0</v>
      </c>
      <c r="B28" s="7" t="s">
        <v>148</v>
      </c>
      <c r="C28" s="7" t="str">
        <f>VLOOKUP(B28,'250725_oplr_r2_rerun_pickorder'!$B$2:$E$49,3,FALSE)</f>
        <v>Plate2.A5</v>
      </c>
      <c r="E28" s="7" t="s">
        <v>87</v>
      </c>
    </row>
    <row r="29" ht="15.75" customHeight="1">
      <c r="A29" s="7">
        <v>30.0</v>
      </c>
      <c r="B29" s="7" t="s">
        <v>152</v>
      </c>
      <c r="C29" s="7" t="str">
        <f>VLOOKUP(B29,'250725_oplr_r2_rerun_pickorder'!$B$2:$E$49,3,FALSE)</f>
        <v>Plate2.A6</v>
      </c>
      <c r="E29" s="7" t="s">
        <v>91</v>
      </c>
    </row>
    <row r="30" ht="15.75" customHeight="1">
      <c r="A30" s="7">
        <v>31.0</v>
      </c>
      <c r="B30" s="7" t="s">
        <v>156</v>
      </c>
      <c r="C30" s="7" t="str">
        <f>VLOOKUP(B30,'250725_oplr_r2_rerun_pickorder'!$B$2:$E$49,3,FALSE)</f>
        <v>Plate2.A7</v>
      </c>
      <c r="E30" s="7" t="s">
        <v>95</v>
      </c>
    </row>
    <row r="31" ht="15.75" customHeight="1">
      <c r="A31" s="7">
        <v>32.0</v>
      </c>
      <c r="B31" s="7" t="s">
        <v>160</v>
      </c>
      <c r="C31" s="7" t="str">
        <f>VLOOKUP(B31,'250725_oplr_r2_rerun_pickorder'!$B$2:$E$49,3,FALSE)</f>
        <v>Plate2.A9</v>
      </c>
      <c r="E31" s="7" t="s">
        <v>231</v>
      </c>
    </row>
    <row r="32" ht="15.75" customHeight="1">
      <c r="A32" s="7">
        <v>33.0</v>
      </c>
      <c r="B32" s="7" t="s">
        <v>164</v>
      </c>
      <c r="C32" s="7" t="str">
        <f>VLOOKUP(B32,'250725_oplr_r2_rerun_pickorder'!$B$2:$E$49,3,FALSE)</f>
        <v>Plate2.A10</v>
      </c>
      <c r="E32" s="7" t="s">
        <v>99</v>
      </c>
    </row>
    <row r="33" ht="15.75" customHeight="1">
      <c r="A33" s="7">
        <v>34.0</v>
      </c>
      <c r="B33" s="7" t="s">
        <v>172</v>
      </c>
      <c r="C33" s="7" t="str">
        <f>VLOOKUP(B33,'250725_oplr_r2_rerun_pickorder'!$B$2:$E$49,3,FALSE)</f>
        <v>Plate2.C1</v>
      </c>
      <c r="E33" s="7" t="s">
        <v>103</v>
      </c>
    </row>
    <row r="34" ht="15.75" customHeight="1">
      <c r="A34" s="7">
        <v>35.0</v>
      </c>
      <c r="B34" s="7" t="s">
        <v>176</v>
      </c>
      <c r="C34" s="7" t="str">
        <f>VLOOKUP(B34,'250725_oplr_r2_rerun_pickorder'!$B$2:$E$49,3,FALSE)</f>
        <v>Plate2.C2</v>
      </c>
      <c r="E34" s="7" t="s">
        <v>107</v>
      </c>
    </row>
    <row r="35" ht="15.75" customHeight="1">
      <c r="A35" s="7">
        <v>36.0</v>
      </c>
      <c r="B35" s="7" t="s">
        <v>180</v>
      </c>
      <c r="C35" s="7" t="str">
        <f>VLOOKUP(B35,'250725_oplr_r2_rerun_pickorder'!$B$2:$E$49,3,FALSE)</f>
        <v>Plate2.C6</v>
      </c>
      <c r="E35" s="7" t="s">
        <v>232</v>
      </c>
    </row>
    <row r="36" ht="15.75" customHeight="1">
      <c r="A36" s="7">
        <v>37.0</v>
      </c>
      <c r="B36" s="7" t="s">
        <v>188</v>
      </c>
      <c r="C36" s="7" t="str">
        <f>VLOOKUP(B36,'250725_oplr_r2_rerun_pickorder'!$B$2:$E$49,3,FALSE)</f>
        <v>Plate2.C9</v>
      </c>
      <c r="E36" s="7" t="s">
        <v>203</v>
      </c>
    </row>
    <row r="37" ht="15.75" customHeight="1">
      <c r="A37" s="7">
        <v>38.0</v>
      </c>
      <c r="B37" s="7" t="s">
        <v>192</v>
      </c>
      <c r="C37" s="7" t="str">
        <f>VLOOKUP(B37,'250725_oplr_r2_rerun_pickorder'!$B$2:$E$49,3,FALSE)</f>
        <v>Plate2.C10</v>
      </c>
      <c r="E37" s="7" t="s">
        <v>111</v>
      </c>
    </row>
    <row r="38" ht="15.75" customHeight="1">
      <c r="A38" s="7">
        <v>39.0</v>
      </c>
      <c r="B38" s="7" t="s">
        <v>196</v>
      </c>
      <c r="C38" s="7" t="str">
        <f>VLOOKUP(B38,'250725_oplr_r2_rerun_pickorder'!$B$2:$E$49,3,FALSE)</f>
        <v>Plate2.C11</v>
      </c>
      <c r="E38" s="7" t="s">
        <v>115</v>
      </c>
    </row>
    <row r="39" ht="15.75" customHeight="1">
      <c r="A39" s="7">
        <v>40.0</v>
      </c>
      <c r="B39" s="7" t="s">
        <v>212</v>
      </c>
      <c r="C39" s="7" t="str">
        <f>VLOOKUP(B39,'250725_oplr_r2_rerun_pickorder'!$B$2:$E$49,3,FALSE)</f>
        <v>#N/A</v>
      </c>
      <c r="E39" s="7" t="s">
        <v>119</v>
      </c>
    </row>
    <row r="40" ht="15.75" customHeight="1">
      <c r="A40" s="7">
        <v>42.0</v>
      </c>
      <c r="B40" s="7" t="s">
        <v>40</v>
      </c>
      <c r="C40" s="7" t="str">
        <f>VLOOKUP(B40,'250725_oplr_r2_rerun_pickorder'!$B$2:$E$49,3,FALSE)</f>
        <v>Plate1.D4</v>
      </c>
      <c r="E40" s="7" t="s">
        <v>123</v>
      </c>
    </row>
    <row r="41" ht="15.75" customHeight="1">
      <c r="A41" s="7">
        <v>43.0</v>
      </c>
      <c r="B41" s="7" t="s">
        <v>60</v>
      </c>
      <c r="C41" s="7" t="str">
        <f>VLOOKUP(B41,'250725_oplr_r2_rerun_pickorder'!$B$2:$E$49,3,FALSE)</f>
        <v>Plate1.D10</v>
      </c>
      <c r="E41" s="7" t="s">
        <v>127</v>
      </c>
    </row>
    <row r="42" ht="15.75" customHeight="1">
      <c r="A42" s="7">
        <v>44.0</v>
      </c>
      <c r="B42" s="7" t="s">
        <v>233</v>
      </c>
      <c r="C42" s="7" t="str">
        <f>VLOOKUP(B42,'250725_oplr_r2_rerun_pickorder'!$B$2:$E$49,3,FALSE)</f>
        <v>#N/A</v>
      </c>
      <c r="E42" s="7" t="s">
        <v>207</v>
      </c>
    </row>
    <row r="43" ht="15.75" customHeight="1">
      <c r="A43" s="7">
        <v>45.0</v>
      </c>
      <c r="B43" s="7" t="s">
        <v>136</v>
      </c>
      <c r="C43" s="7" t="str">
        <f>VLOOKUP(B43,'250725_oplr_r2_rerun_pickorder'!$B$2:$E$49,3,FALSE)</f>
        <v>Plate2.B2</v>
      </c>
      <c r="E43" s="7" t="s">
        <v>131</v>
      </c>
    </row>
    <row r="44" ht="15.75" customHeight="1">
      <c r="A44" s="7">
        <v>46.0</v>
      </c>
      <c r="B44" s="7" t="s">
        <v>140</v>
      </c>
      <c r="C44" s="7" t="str">
        <f>VLOOKUP(B44,'250725_oplr_r2_rerun_pickorder'!$B$2:$E$49,3,FALSE)</f>
        <v>Plate2.A3</v>
      </c>
      <c r="E44" s="7" t="s">
        <v>135</v>
      </c>
    </row>
    <row r="45" ht="15.75" customHeight="1">
      <c r="A45" s="7">
        <v>47.0</v>
      </c>
      <c r="B45" s="7" t="s">
        <v>12</v>
      </c>
      <c r="C45" s="7" t="str">
        <f>VLOOKUP(B45,'250725_oplr_r2_rerun_pickorder'!$B$2:$E$49,3,FALSE)</f>
        <v>Plate1.B8</v>
      </c>
      <c r="E45" s="7" t="s">
        <v>211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2025-07-26T02:56:51Z</dcterms:created>
  <dc:creator>Jacob Roberts</dc:creator>
</cp:coreProperties>
</file>