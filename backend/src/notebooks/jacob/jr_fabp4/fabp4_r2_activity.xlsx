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Downloads/"/>
    </mc:Choice>
  </mc:AlternateContent>
  <xr:revisionPtr revIDLastSave="0" documentId="8_{E08487C8-C5F1-CF4F-8157-10C94EB6FC9D}" xr6:coauthVersionLast="47" xr6:coauthVersionMax="47" xr10:uidLastSave="{00000000-0000-0000-0000-000000000000}"/>
  <bookViews>
    <workbookView xWindow="4060" yWindow="3160" windowWidth="27240" windowHeight="16440" xr2:uid="{FAB87DB2-0769-BF42-AB2B-D27716D8F9CE}"/>
  </bookViews>
  <sheets>
    <sheet name="fabp4_r1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" i="1" l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35" i="1"/>
  <c r="I42" i="1"/>
  <c r="I34" i="1"/>
  <c r="I24" i="1"/>
  <c r="I21" i="1"/>
  <c r="I25" i="1"/>
  <c r="I28" i="1"/>
  <c r="I43" i="1"/>
  <c r="I27" i="1"/>
  <c r="I30" i="1"/>
  <c r="I45" i="1"/>
  <c r="I7" i="1"/>
  <c r="I33" i="1"/>
  <c r="I12" i="1"/>
  <c r="I15" i="1"/>
  <c r="I16" i="1"/>
  <c r="I2" i="1"/>
  <c r="I40" i="1"/>
  <c r="I19" i="1"/>
  <c r="I32" i="1"/>
  <c r="I44" i="1"/>
  <c r="I41" i="1"/>
  <c r="I13" i="1"/>
  <c r="I4" i="1"/>
  <c r="I48" i="1"/>
  <c r="I23" i="1"/>
  <c r="I18" i="1"/>
  <c r="I47" i="1"/>
  <c r="I20" i="1"/>
  <c r="I46" i="1"/>
  <c r="I26" i="1"/>
  <c r="I22" i="1"/>
  <c r="I39" i="1"/>
  <c r="I5" i="1"/>
  <c r="I14" i="1"/>
  <c r="I31" i="1"/>
  <c r="I8" i="1"/>
  <c r="I9" i="1"/>
  <c r="I11" i="1"/>
  <c r="I36" i="1"/>
  <c r="I38" i="1"/>
  <c r="I6" i="1"/>
  <c r="I17" i="1"/>
  <c r="I37" i="1"/>
  <c r="I29" i="1"/>
  <c r="I10" i="1"/>
</calcChain>
</file>

<file path=xl/sharedStrings.xml><?xml version="1.0" encoding="utf-8"?>
<sst xmlns="http://schemas.openxmlformats.org/spreadsheetml/2006/main" count="107" uniqueCount="107">
  <si>
    <t>fold_id</t>
  </si>
  <si>
    <t>fold_name</t>
  </si>
  <si>
    <t>affinity_pred_value</t>
  </si>
  <si>
    <t>affinity_probability_binary</t>
  </si>
  <si>
    <t>affinity_pred_value1</t>
  </si>
  <si>
    <t>affinity_probability_binary1</t>
  </si>
  <si>
    <t>affinity_pred_value2</t>
  </si>
  <si>
    <t>affinity_probability_binary2</t>
  </si>
  <si>
    <t>FABP4_HUMAN-R109V PFOA</t>
  </si>
  <si>
    <t>FABP4_HUMAN-V91T PFOA</t>
  </si>
  <si>
    <t>FABP4_HUMAN-M36V PFOA</t>
  </si>
  <si>
    <t>FABP4_HUMAN-V95E PFOA</t>
  </si>
  <si>
    <t>FABP4_HUMAN-M41C PFOA</t>
  </si>
  <si>
    <t>FABP4_HUMAN-I85V PFOA</t>
  </si>
  <si>
    <t>FABP4_HUMAN-K121E PFOA</t>
  </si>
  <si>
    <t>FABP4_HUMAN-I52M PFOA</t>
  </si>
  <si>
    <t>FABP4_HUMAN-I66H PFOA</t>
  </si>
  <si>
    <t>FABP4_HUMAN-I66E PFOA</t>
  </si>
  <si>
    <t>FABP4_HUMAN-I66V PFOA</t>
  </si>
  <si>
    <t>FABP4_HUMAN-H94Q PFOA</t>
  </si>
  <si>
    <t>FABP4_HUMAN-S102K PFOA</t>
  </si>
  <si>
    <t>FABP4_HUMAN-S102N PFOA</t>
  </si>
  <si>
    <t>FABP4_HUMAN-V24I PFOA</t>
  </si>
  <si>
    <t>FABP4_HUMAN-Q69K PFOA</t>
  </si>
  <si>
    <t>FABP4_HUMAN-K121G PFOA</t>
  </si>
  <si>
    <t>FABP4_HUMAN-I50V PFOA</t>
  </si>
  <si>
    <t>FABP4_HUMAN-M41T PFOA</t>
  </si>
  <si>
    <t>FABP4_HUMAN-V49T PFOA</t>
  </si>
  <si>
    <t>FABP4_HUMAN-K121S PFOA</t>
  </si>
  <si>
    <t>FABP4_HUMAN-V91S PFOA</t>
  </si>
  <si>
    <t>FABP4_HUMAN-I52L PFOA</t>
  </si>
  <si>
    <t>FABP4_HUMAN-M41I PFOA</t>
  </si>
  <si>
    <t>FABP4_HUMAN-S102T PFOA</t>
  </si>
  <si>
    <t>FABP4_HUMAN-S102Q PFOA</t>
  </si>
  <si>
    <t>FABP4_HUMAN-S102V PFOA</t>
  </si>
  <si>
    <t>FABP4_HUMAN-V91A PFOA</t>
  </si>
  <si>
    <t>FABP4_HUMAN-V74T PFOA</t>
  </si>
  <si>
    <t>FABP4_HUMAN-I66S PFOA</t>
  </si>
  <si>
    <t>FABP4_HUMAN-K121D PFOA</t>
  </si>
  <si>
    <t>FABP4_HUMAN-K121A PFOA</t>
  </si>
  <si>
    <t>FABP4_HUMAN-V24L PFOA</t>
  </si>
  <si>
    <t>FABP4_HUMAN-R109L PFOA</t>
  </si>
  <si>
    <t>FABP4_HUMAN-D111G PFOA</t>
  </si>
  <si>
    <t>FABP4_HUMAN-I66N PFOA</t>
  </si>
  <si>
    <t>FABP4_HUMAN-M41V PFOA</t>
  </si>
  <si>
    <t>FABP4_HUMAN-I66Q PFOA</t>
  </si>
  <si>
    <t>FABP4_HUMAN-R131K PFOA</t>
  </si>
  <si>
    <t>FABP4_HUMAN-I66R PFOA</t>
  </si>
  <si>
    <t>FABP4_HUMAN-S102D PFOA</t>
  </si>
  <si>
    <t>FABP4_HUMAN-M41L PFOA</t>
  </si>
  <si>
    <t>FABP4_HUMAN-S102E PFOA</t>
  </si>
  <si>
    <t>FABP4_HUMAN-I66K PFOA</t>
  </si>
  <si>
    <t>FABP4_HUMAN-K121N PFOA</t>
  </si>
  <si>
    <t>FABP4_HUMAN-I66T PFOA</t>
  </si>
  <si>
    <t>FABP4_HUMAN-WT PFOA</t>
  </si>
  <si>
    <t>seq_id</t>
  </si>
  <si>
    <t>activity</t>
  </si>
  <si>
    <t>FABP4_HUMAN-I52Q_R109V PFOA</t>
  </si>
  <si>
    <t>FABP4_HUMAN-I52M_E62V PFOA</t>
  </si>
  <si>
    <t>FABP4_HUMAN-I52M_S102Q PFOA</t>
  </si>
  <si>
    <t>FABP4_HUMAN-I52M_K101Q PFOA</t>
  </si>
  <si>
    <t>FABP4_HUMAN-M41L_I52M PFOA</t>
  </si>
  <si>
    <t>FABP4_HUMAN-M41N_I52M PFOA</t>
  </si>
  <si>
    <t>FABP4_HUMAN-M41T_I52M PFOA</t>
  </si>
  <si>
    <t>FABP4_HUMAN-M41A_I52M PFOA</t>
  </si>
  <si>
    <t>FABP4_HUMAN-I52M_S102D PFOA</t>
  </si>
  <si>
    <t>FABP4_HUMAN-M41T_V91S PFOA</t>
  </si>
  <si>
    <t>FABP4_HUMAN-I52M_E110L PFOA</t>
  </si>
  <si>
    <t>FABP4_HUMAN-I52M_K80H PFOA</t>
  </si>
  <si>
    <t>FABP4_HUMAN-I52M_E110M PFOA</t>
  </si>
  <si>
    <t>FABP4_HUMAN-M41N_S102D PFOA</t>
  </si>
  <si>
    <t>FABP4_HUMAN-M41S_I52M PFOA</t>
  </si>
  <si>
    <t>FABP4_HUMAN-I52L_V91S PFOA</t>
  </si>
  <si>
    <t>FABP4_HUMAN-I52M_T84L PFOA</t>
  </si>
  <si>
    <t>FABP4_HUMAN-M41Q_V91S PFOA</t>
  </si>
  <si>
    <t>FABP4_HUMAN-I52L_E62V PFOA</t>
  </si>
  <si>
    <t>FABP4_HUMAN-I52L_S102D PFOA</t>
  </si>
  <si>
    <t>FABP4_HUMAN-I52F_S102D PFOA</t>
  </si>
  <si>
    <t>FABP4_HUMAN-I50V_I52M PFOA</t>
  </si>
  <si>
    <t>FABP4_HUMAN-I52M_T84V PFOA</t>
  </si>
  <si>
    <t>FABP4_HUMAN-M41Q_I52M PFOA</t>
  </si>
  <si>
    <t>FABP4_HUMAN-I52M_V91S PFOA</t>
  </si>
  <si>
    <t>FABP4_HUMAN-I52L_Q69K PFOA</t>
  </si>
  <si>
    <t>FABP4_HUMAN-V45Q_I52M PFOA</t>
  </si>
  <si>
    <t>FABP4_HUMAN-M41L_T84L PFOA</t>
  </si>
  <si>
    <t>FABP4_HUMAN-M41L_E62L PFOA</t>
  </si>
  <si>
    <t>FABP4_HUMAN-I52M_D112G PFOA</t>
  </si>
  <si>
    <t>FABP4_HUMAN-M41L_K97S PFOA</t>
  </si>
  <si>
    <t>FABP4_HUMAN-V45R_R109V PFOA</t>
  </si>
  <si>
    <t>FABP4_HUMAN-V45Q_I52L PFOA</t>
  </si>
  <si>
    <t>FABP4_HUMAN-V33M_I52L PFOA</t>
  </si>
  <si>
    <t>FABP4_HUMAN-T84L_V91S PFOA</t>
  </si>
  <si>
    <t>FABP4_HUMAN-M41E_I52M PFOA</t>
  </si>
  <si>
    <t>FABP4_HUMAN-I66T_S102D PFOA</t>
  </si>
  <si>
    <t>FABP4_HUMAN-I52M_I66K PFOA</t>
  </si>
  <si>
    <t>FABP4_HUMAN-R109V_E117K PFOA</t>
  </si>
  <si>
    <t>FABP4_HUMAN-M41L_V91S PFOA</t>
  </si>
  <si>
    <t>FABP4_HUMAN-I52L_I63L PFOA</t>
  </si>
  <si>
    <t>FABP4_HUMAN-I52M_S102V PFOA</t>
  </si>
  <si>
    <t>FABP4_HUMAN-I52L_S102L PFOA</t>
  </si>
  <si>
    <t>FABP4_HUMAN-M41L_I52V PFOA</t>
  </si>
  <si>
    <t>FABP4_HUMAN-I52L_S102V PFOA</t>
  </si>
  <si>
    <t>FABP4_HUMAN-V91S_S102V PFOA</t>
  </si>
  <si>
    <t>FABP4_HUMAN-M41D_R109V PFOA</t>
  </si>
  <si>
    <t>FABP4_HUMAN-M41E_R109V PFOA</t>
  </si>
  <si>
    <t>FABP4_HUMAN-M41E_V91S PFOA</t>
  </si>
  <si>
    <t>FABP4_HUMAN-M41E_S102D PFOA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</si>
</sst>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B9E-75E6-AA46-9048-0A6797FB473F}">
  <dimension ref="A1:J98"/>
  <sheetViews>
    <sheetView tabSelected="1" workbookViewId="0">
      <selection activeCell="J49" sqref="J49"/>
    </sheetView>
  </sheetViews>
  <sheetFormatPr baseColWidth="10" defaultRowHeight="16" x14ac:dyDescent="0.2"/>
  <cols>
    <col min="2" max="2" width="29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56</v>
      </c>
    </row>
    <row r="2" spans="1:10" x14ac:dyDescent="0.2">
      <c r="A2">
        <v>7891</v>
      </c>
      <c r="B2" t="s">
        <v>54</v>
      </c>
      <c r="C2">
        <v>1.5649170875549301</v>
      </c>
      <c r="D2">
        <v>0.48258626461028997</v>
      </c>
      <c r="E2">
        <v>1.7518504858016899</v>
      </c>
      <c r="F2">
        <v>0.49576818943023598</v>
      </c>
      <c r="G2">
        <v>1.3779838085174501</v>
      </c>
      <c r="H2">
        <v>0.46940430998802102</v>
      </c>
      <c r="I2" t="str">
        <f>_xlfn.TEXTBEFORE(_xlfn.TEXTAFTER(B2,"-")," ")</f>
        <v>WT</v>
      </c>
      <c r="J2">
        <f>$C$2-C2</f>
        <v>0</v>
      </c>
    </row>
    <row r="3" spans="1:10" x14ac:dyDescent="0.2">
      <c r="A3">
        <v>7921</v>
      </c>
      <c r="B3" t="s">
        <v>49</v>
      </c>
      <c r="C3">
        <v>1.40643846988677</v>
      </c>
      <c r="D3">
        <v>0.49357241392135598</v>
      </c>
      <c r="E3">
        <v>1.4248377084732</v>
      </c>
      <c r="F3">
        <v>0.50067257881164495</v>
      </c>
      <c r="G3">
        <v>1.38803923130035</v>
      </c>
      <c r="H3">
        <v>0.48647221922874401</v>
      </c>
      <c r="I3" t="str">
        <f>_xlfn.TEXTBEFORE(_xlfn.TEXTAFTER(B3,"-")," ")</f>
        <v>M41L</v>
      </c>
      <c r="J3">
        <f t="shared" ref="J3:J66" si="0">$C$2-C3</f>
        <v>0.15847861766816007</v>
      </c>
    </row>
    <row r="4" spans="1:10" x14ac:dyDescent="0.2">
      <c r="A4">
        <v>7955</v>
      </c>
      <c r="B4" t="s">
        <v>15</v>
      </c>
      <c r="C4">
        <v>1.4193129539489699</v>
      </c>
      <c r="D4">
        <v>0.51027870178222601</v>
      </c>
      <c r="E4">
        <v>1.5438753366470299</v>
      </c>
      <c r="F4">
        <v>0.52163761854171697</v>
      </c>
      <c r="G4">
        <v>1.2947506904602</v>
      </c>
      <c r="H4">
        <v>0.49891972541808999</v>
      </c>
      <c r="I4" t="str">
        <f>_xlfn.TEXTBEFORE(_xlfn.TEXTAFTER(B4,"-")," ")</f>
        <v>I52M</v>
      </c>
      <c r="J4">
        <f t="shared" si="0"/>
        <v>0.14560413360596014</v>
      </c>
    </row>
    <row r="5" spans="1:10" x14ac:dyDescent="0.2">
      <c r="A5">
        <v>7945</v>
      </c>
      <c r="B5" t="s">
        <v>25</v>
      </c>
      <c r="C5">
        <v>1.4275984764099099</v>
      </c>
      <c r="D5">
        <v>0.47864633798599199</v>
      </c>
      <c r="E5">
        <v>1.52331984043121</v>
      </c>
      <c r="F5">
        <v>0.49052619934081998</v>
      </c>
      <c r="G5">
        <v>1.3318772315978999</v>
      </c>
      <c r="H5">
        <v>0.46676650643348599</v>
      </c>
      <c r="I5" t="str">
        <f>_xlfn.TEXTBEFORE(_xlfn.TEXTAFTER(B5,"-")," ")</f>
        <v>I50V</v>
      </c>
      <c r="J5">
        <f t="shared" si="0"/>
        <v>0.1373186111450202</v>
      </c>
    </row>
    <row r="6" spans="1:10" x14ac:dyDescent="0.2">
      <c r="A6">
        <v>7937</v>
      </c>
      <c r="B6" t="s">
        <v>33</v>
      </c>
      <c r="C6">
        <v>1.44014644622802</v>
      </c>
      <c r="D6">
        <v>0.468910962343215</v>
      </c>
      <c r="E6">
        <v>1.5301551818847601</v>
      </c>
      <c r="F6">
        <v>0.486491829156875</v>
      </c>
      <c r="G6">
        <v>1.35013771057128</v>
      </c>
      <c r="H6">
        <v>0.451330095529556</v>
      </c>
      <c r="I6" t="str">
        <f>_xlfn.TEXTBEFORE(_xlfn.TEXTAFTER(B6,"-")," ")</f>
        <v>S102Q</v>
      </c>
      <c r="J6">
        <f t="shared" si="0"/>
        <v>0.12477064132691007</v>
      </c>
    </row>
    <row r="7" spans="1:10" x14ac:dyDescent="0.2">
      <c r="A7">
        <v>7922</v>
      </c>
      <c r="B7" t="s">
        <v>48</v>
      </c>
      <c r="C7">
        <v>1.4432241916656401</v>
      </c>
      <c r="D7">
        <v>0.474892437458038</v>
      </c>
      <c r="E7">
        <v>1.5096033811569201</v>
      </c>
      <c r="F7">
        <v>0.49213868379592801</v>
      </c>
      <c r="G7">
        <v>1.3768448829650799</v>
      </c>
      <c r="H7">
        <v>0.45764619112014698</v>
      </c>
      <c r="I7" t="str">
        <f>_xlfn.TEXTBEFORE(_xlfn.TEXTAFTER(B7,"-")," ")</f>
        <v>S102D</v>
      </c>
      <c r="J7">
        <f t="shared" si="0"/>
        <v>0.12169289588929</v>
      </c>
    </row>
    <row r="8" spans="1:10" x14ac:dyDescent="0.2">
      <c r="A8">
        <v>7942</v>
      </c>
      <c r="B8" t="s">
        <v>28</v>
      </c>
      <c r="C8">
        <v>1.45185327529907</v>
      </c>
      <c r="D8">
        <v>0.48476046323776201</v>
      </c>
      <c r="E8">
        <v>1.5523477792739799</v>
      </c>
      <c r="F8">
        <v>0.49455037713050798</v>
      </c>
      <c r="G8">
        <v>1.3513588905334399</v>
      </c>
      <c r="H8">
        <v>0.47497051954269398</v>
      </c>
      <c r="I8" t="str">
        <f>_xlfn.TEXTBEFORE(_xlfn.TEXTAFTER(B8,"-")," ")</f>
        <v>K121S</v>
      </c>
      <c r="J8">
        <f t="shared" si="0"/>
        <v>0.11306381225586004</v>
      </c>
    </row>
    <row r="9" spans="1:10" x14ac:dyDescent="0.2">
      <c r="A9">
        <v>7941</v>
      </c>
      <c r="B9" t="s">
        <v>29</v>
      </c>
      <c r="C9">
        <v>1.4671217203140201</v>
      </c>
      <c r="D9">
        <v>0.48561537265777499</v>
      </c>
      <c r="E9">
        <v>1.5766810178756701</v>
      </c>
      <c r="F9">
        <v>0.49488514661788902</v>
      </c>
      <c r="G9">
        <v>1.3575624227523799</v>
      </c>
      <c r="H9">
        <v>0.47634559869766202</v>
      </c>
      <c r="I9" t="str">
        <f>_xlfn.TEXTBEFORE(_xlfn.TEXTAFTER(B9,"-")," ")</f>
        <v>V91S</v>
      </c>
      <c r="J9">
        <f t="shared" si="0"/>
        <v>9.7795367240909981E-2</v>
      </c>
    </row>
    <row r="10" spans="1:10" x14ac:dyDescent="0.2">
      <c r="A10">
        <v>7962</v>
      </c>
      <c r="B10" t="s">
        <v>8</v>
      </c>
      <c r="C10">
        <v>1.4738365411758401</v>
      </c>
      <c r="D10">
        <v>0.48066627979278498</v>
      </c>
      <c r="E10">
        <v>1.6099708080291699</v>
      </c>
      <c r="F10">
        <v>0.49361163377761802</v>
      </c>
      <c r="G10">
        <v>1.3377022743225</v>
      </c>
      <c r="H10">
        <v>0.46772089600562999</v>
      </c>
      <c r="I10" t="str">
        <f>_xlfn.TEXTBEFORE(_xlfn.TEXTAFTER(B10,"-")," ")</f>
        <v>R109V</v>
      </c>
      <c r="J10">
        <f t="shared" si="0"/>
        <v>9.1080546379090022E-2</v>
      </c>
    </row>
    <row r="11" spans="1:10" x14ac:dyDescent="0.2">
      <c r="A11">
        <v>7940</v>
      </c>
      <c r="B11" t="s">
        <v>30</v>
      </c>
      <c r="C11">
        <v>1.4744281768798799</v>
      </c>
      <c r="D11">
        <v>0.49819874763488697</v>
      </c>
      <c r="E11">
        <v>1.6202480792999201</v>
      </c>
      <c r="F11">
        <v>0.50583100318908603</v>
      </c>
      <c r="G11">
        <v>1.32860839366912</v>
      </c>
      <c r="H11">
        <v>0.49056646227836598</v>
      </c>
      <c r="I11" t="str">
        <f>_xlfn.TEXTBEFORE(_xlfn.TEXTAFTER(B11,"-")," ")</f>
        <v>I52L</v>
      </c>
      <c r="J11">
        <f t="shared" si="0"/>
        <v>9.048891067505016E-2</v>
      </c>
    </row>
    <row r="12" spans="1:10" x14ac:dyDescent="0.2">
      <c r="A12">
        <v>7919</v>
      </c>
      <c r="B12" t="s">
        <v>51</v>
      </c>
      <c r="C12">
        <v>1.48819899559021</v>
      </c>
      <c r="D12">
        <v>0.47449636459350503</v>
      </c>
      <c r="E12">
        <v>1.5988200902938801</v>
      </c>
      <c r="F12">
        <v>0.47884249687194802</v>
      </c>
      <c r="G12">
        <v>1.3775777816772401</v>
      </c>
      <c r="H12">
        <v>0.47015020251274098</v>
      </c>
      <c r="I12" t="str">
        <f>_xlfn.TEXTBEFORE(_xlfn.TEXTAFTER(B12,"-")," ")</f>
        <v>I66K</v>
      </c>
      <c r="J12">
        <f t="shared" si="0"/>
        <v>7.6718091964720125E-2</v>
      </c>
    </row>
    <row r="13" spans="1:10" x14ac:dyDescent="0.2">
      <c r="A13">
        <v>7956</v>
      </c>
      <c r="B13" t="s">
        <v>14</v>
      </c>
      <c r="C13">
        <v>1.4931504726409901</v>
      </c>
      <c r="D13">
        <v>0.48313093185424799</v>
      </c>
      <c r="E13">
        <v>1.6304854154586701</v>
      </c>
      <c r="F13">
        <v>0.50492739677429199</v>
      </c>
      <c r="G13">
        <v>1.3558155298232999</v>
      </c>
      <c r="H13">
        <v>0.46133446693420399</v>
      </c>
      <c r="I13" t="str">
        <f>_xlfn.TEXTBEFORE(_xlfn.TEXTAFTER(B13,"-")," ")</f>
        <v>K121E</v>
      </c>
      <c r="J13">
        <f t="shared" si="0"/>
        <v>7.1766614913939986E-2</v>
      </c>
    </row>
    <row r="14" spans="1:10" x14ac:dyDescent="0.2">
      <c r="A14">
        <v>7944</v>
      </c>
      <c r="B14" t="s">
        <v>26</v>
      </c>
      <c r="C14">
        <v>1.50527191162109</v>
      </c>
      <c r="D14">
        <v>0.51573753356933505</v>
      </c>
      <c r="E14">
        <v>1.6781818866729701</v>
      </c>
      <c r="F14">
        <v>0.54562067985534601</v>
      </c>
      <c r="G14">
        <v>1.3323619365692101</v>
      </c>
      <c r="H14">
        <v>0.48585435748100197</v>
      </c>
      <c r="I14" t="str">
        <f>_xlfn.TEXTBEFORE(_xlfn.TEXTAFTER(B14,"-")," ")</f>
        <v>M41T</v>
      </c>
      <c r="J14">
        <f t="shared" si="0"/>
        <v>5.9645175933840111E-2</v>
      </c>
    </row>
    <row r="15" spans="1:10" x14ac:dyDescent="0.2">
      <c r="A15">
        <v>7918</v>
      </c>
      <c r="B15" t="s">
        <v>52</v>
      </c>
      <c r="C15">
        <v>1.5070872306823699</v>
      </c>
      <c r="D15">
        <v>0.48547837138175898</v>
      </c>
      <c r="E15">
        <v>1.5871223211288401</v>
      </c>
      <c r="F15">
        <v>0.50213104486465399</v>
      </c>
      <c r="G15">
        <v>1.42705225944519</v>
      </c>
      <c r="H15">
        <v>0.46882569789886402</v>
      </c>
      <c r="I15" t="str">
        <f>_xlfn.TEXTBEFORE(_xlfn.TEXTAFTER(B15,"-")," ")</f>
        <v>K121N</v>
      </c>
      <c r="J15">
        <f t="shared" si="0"/>
        <v>5.7829856872560148E-2</v>
      </c>
    </row>
    <row r="16" spans="1:10" x14ac:dyDescent="0.2">
      <c r="A16">
        <v>7917</v>
      </c>
      <c r="B16" t="s">
        <v>53</v>
      </c>
      <c r="C16">
        <v>1.5105059146881099</v>
      </c>
      <c r="D16">
        <v>0.48622250556945801</v>
      </c>
      <c r="E16">
        <v>1.60267674922943</v>
      </c>
      <c r="F16">
        <v>0.497695982456207</v>
      </c>
      <c r="G16">
        <v>1.4183349609375</v>
      </c>
      <c r="H16">
        <v>0.47474905848503102</v>
      </c>
      <c r="I16" t="str">
        <f>_xlfn.TEXTBEFORE(_xlfn.TEXTAFTER(B16,"-")," ")</f>
        <v>I66T</v>
      </c>
      <c r="J16">
        <f t="shared" si="0"/>
        <v>5.4411172866820179E-2</v>
      </c>
    </row>
    <row r="17" spans="1:10" x14ac:dyDescent="0.2">
      <c r="A17">
        <v>7936</v>
      </c>
      <c r="B17" t="s">
        <v>34</v>
      </c>
      <c r="C17">
        <v>1.5111060142517001</v>
      </c>
      <c r="D17">
        <v>0.453115344047546</v>
      </c>
      <c r="E17">
        <v>1.5962554216384801</v>
      </c>
      <c r="F17">
        <v>0.46324646472930903</v>
      </c>
      <c r="G17">
        <v>1.4259564876556301</v>
      </c>
      <c r="H17">
        <v>0.44298422336578303</v>
      </c>
      <c r="I17" t="str">
        <f>_xlfn.TEXTBEFORE(_xlfn.TEXTAFTER(B17,"-")," ")</f>
        <v>S102V</v>
      </c>
      <c r="J17">
        <f t="shared" si="0"/>
        <v>5.3811073303229984E-2</v>
      </c>
    </row>
    <row r="18" spans="1:10" x14ac:dyDescent="0.2">
      <c r="A18">
        <v>7952</v>
      </c>
      <c r="B18" t="s">
        <v>18</v>
      </c>
      <c r="C18">
        <v>1.5125808715820299</v>
      </c>
      <c r="D18">
        <v>0.479553133249282</v>
      </c>
      <c r="E18">
        <v>1.65748250484466</v>
      </c>
      <c r="F18">
        <v>0.480298101902008</v>
      </c>
      <c r="G18">
        <v>1.3676791191101001</v>
      </c>
      <c r="H18">
        <v>0.47880816459655701</v>
      </c>
      <c r="I18" t="str">
        <f>_xlfn.TEXTBEFORE(_xlfn.TEXTAFTER(B18,"-")," ")</f>
        <v>I66V</v>
      </c>
      <c r="J18">
        <f t="shared" si="0"/>
        <v>5.2336215972900169E-2</v>
      </c>
    </row>
    <row r="19" spans="1:10" x14ac:dyDescent="0.2">
      <c r="A19">
        <v>7960</v>
      </c>
      <c r="B19" t="s">
        <v>10</v>
      </c>
      <c r="C19">
        <v>1.5156785249710001</v>
      </c>
      <c r="D19">
        <v>0.46753656864166199</v>
      </c>
      <c r="E19">
        <v>1.59457027912139</v>
      </c>
      <c r="F19">
        <v>0.48666873574256803</v>
      </c>
      <c r="G19">
        <v>1.4367867708206099</v>
      </c>
      <c r="H19">
        <v>0.44840437173843301</v>
      </c>
      <c r="I19" t="str">
        <f>_xlfn.TEXTBEFORE(_xlfn.TEXTAFTER(B19,"-")," ")</f>
        <v>M36V</v>
      </c>
      <c r="J19">
        <f t="shared" si="0"/>
        <v>4.9238562583930001E-2</v>
      </c>
    </row>
    <row r="20" spans="1:10" x14ac:dyDescent="0.2">
      <c r="A20">
        <v>7950</v>
      </c>
      <c r="B20" t="s">
        <v>20</v>
      </c>
      <c r="C20">
        <v>1.5210752487182599</v>
      </c>
      <c r="D20">
        <v>0.463288873434066</v>
      </c>
      <c r="E20">
        <v>1.6249076128005899</v>
      </c>
      <c r="F20">
        <v>0.48233187198638899</v>
      </c>
      <c r="G20">
        <v>1.41724276542663</v>
      </c>
      <c r="H20">
        <v>0.444245874881744</v>
      </c>
      <c r="I20" t="str">
        <f>_xlfn.TEXTBEFORE(_xlfn.TEXTAFTER(B20,"-")," ")</f>
        <v>S102K</v>
      </c>
      <c r="J20">
        <f t="shared" si="0"/>
        <v>4.3841838836670144E-2</v>
      </c>
    </row>
    <row r="21" spans="1:10" x14ac:dyDescent="0.2">
      <c r="A21">
        <v>7929</v>
      </c>
      <c r="B21" t="s">
        <v>41</v>
      </c>
      <c r="C21">
        <v>1.52301681041717</v>
      </c>
      <c r="D21">
        <v>0.47554773092269897</v>
      </c>
      <c r="E21">
        <v>1.69410383701324</v>
      </c>
      <c r="F21">
        <v>0.48896002769470198</v>
      </c>
      <c r="G21">
        <v>1.3519297838211</v>
      </c>
      <c r="H21">
        <v>0.46213546395301802</v>
      </c>
      <c r="I21" t="str">
        <f>_xlfn.TEXTBEFORE(_xlfn.TEXTAFTER(B21,"-")," ")</f>
        <v>R109L</v>
      </c>
      <c r="J21">
        <f t="shared" si="0"/>
        <v>4.1900277137760122E-2</v>
      </c>
    </row>
    <row r="22" spans="1:10" x14ac:dyDescent="0.2">
      <c r="A22">
        <v>7947</v>
      </c>
      <c r="B22" t="s">
        <v>23</v>
      </c>
      <c r="C22">
        <v>1.5233626365661599</v>
      </c>
      <c r="D22">
        <v>0.48388516902923501</v>
      </c>
      <c r="E22">
        <v>1.6344923973083401</v>
      </c>
      <c r="F22">
        <v>0.48848214745521501</v>
      </c>
      <c r="G22">
        <v>1.4122328758239699</v>
      </c>
      <c r="H22">
        <v>0.47928816080093301</v>
      </c>
      <c r="I22" t="str">
        <f>_xlfn.TEXTBEFORE(_xlfn.TEXTAFTER(B22,"-")," ")</f>
        <v>Q69K</v>
      </c>
      <c r="J22">
        <f t="shared" si="0"/>
        <v>4.1554450988770197E-2</v>
      </c>
    </row>
    <row r="23" spans="1:10" x14ac:dyDescent="0.2">
      <c r="A23">
        <v>7953</v>
      </c>
      <c r="B23" t="s">
        <v>17</v>
      </c>
      <c r="C23">
        <v>1.5244126319885201</v>
      </c>
      <c r="D23">
        <v>0.48168998956680298</v>
      </c>
      <c r="E23">
        <v>1.65729403495788</v>
      </c>
      <c r="F23">
        <v>0.48173397779464699</v>
      </c>
      <c r="G23">
        <v>1.3915312290191599</v>
      </c>
      <c r="H23">
        <v>0.48164597153663602</v>
      </c>
      <c r="I23" t="str">
        <f>_xlfn.TEXTBEFORE(_xlfn.TEXTAFTER(B23,"-")," ")</f>
        <v>I66E</v>
      </c>
      <c r="J23">
        <f t="shared" si="0"/>
        <v>4.0504455566410025E-2</v>
      </c>
    </row>
    <row r="24" spans="1:10" x14ac:dyDescent="0.2">
      <c r="A24">
        <v>7930</v>
      </c>
      <c r="B24" t="s">
        <v>40</v>
      </c>
      <c r="C24">
        <v>1.5246597528457599</v>
      </c>
      <c r="D24">
        <v>0.46075958013534501</v>
      </c>
      <c r="E24">
        <v>1.59984850883483</v>
      </c>
      <c r="F24">
        <v>0.496308833360672</v>
      </c>
      <c r="G24">
        <v>1.4494709968566799</v>
      </c>
      <c r="H24">
        <v>0.42521035671234098</v>
      </c>
      <c r="I24" t="str">
        <f>_xlfn.TEXTBEFORE(_xlfn.TEXTAFTER(B24,"-")," ")</f>
        <v>V24L</v>
      </c>
      <c r="J24">
        <f t="shared" si="0"/>
        <v>4.0257334709170145E-2</v>
      </c>
    </row>
    <row r="25" spans="1:10" x14ac:dyDescent="0.2">
      <c r="A25">
        <v>7928</v>
      </c>
      <c r="B25" t="s">
        <v>42</v>
      </c>
      <c r="C25">
        <v>1.5251495838165201</v>
      </c>
      <c r="D25">
        <v>0.481453657150268</v>
      </c>
      <c r="E25">
        <v>1.6628156900405799</v>
      </c>
      <c r="F25">
        <v>0.50096565485000599</v>
      </c>
      <c r="G25">
        <v>1.38748359680175</v>
      </c>
      <c r="H25">
        <v>0.461941689252853</v>
      </c>
      <c r="I25" t="str">
        <f>_xlfn.TEXTBEFORE(_xlfn.TEXTAFTER(B25,"-")," ")</f>
        <v>D111G</v>
      </c>
      <c r="J25">
        <f t="shared" si="0"/>
        <v>3.9767503738409982E-2</v>
      </c>
    </row>
    <row r="26" spans="1:10" x14ac:dyDescent="0.2">
      <c r="A26">
        <v>7948</v>
      </c>
      <c r="B26" t="s">
        <v>22</v>
      </c>
      <c r="C26">
        <v>1.52519023418426</v>
      </c>
      <c r="D26">
        <v>0.47285205125808699</v>
      </c>
      <c r="E26">
        <v>1.61303746700286</v>
      </c>
      <c r="F26">
        <v>0.501911401748657</v>
      </c>
      <c r="G26">
        <v>1.4373430013656601</v>
      </c>
      <c r="H26">
        <v>0.44379267096519398</v>
      </c>
      <c r="I26" t="str">
        <f>_xlfn.TEXTBEFORE(_xlfn.TEXTAFTER(B26,"-")," ")</f>
        <v>V24I</v>
      </c>
      <c r="J26">
        <f t="shared" si="0"/>
        <v>3.9726853370670057E-2</v>
      </c>
    </row>
    <row r="27" spans="1:10" x14ac:dyDescent="0.2">
      <c r="A27">
        <v>7925</v>
      </c>
      <c r="B27" t="s">
        <v>45</v>
      </c>
      <c r="C27">
        <v>1.5297315120696999</v>
      </c>
      <c r="D27">
        <v>0.48296207189559898</v>
      </c>
      <c r="E27">
        <v>1.6412428617477399</v>
      </c>
      <c r="F27">
        <v>0.50812017917633001</v>
      </c>
      <c r="G27">
        <v>1.4182201623916599</v>
      </c>
      <c r="H27">
        <v>0.45780399441719</v>
      </c>
      <c r="I27" t="str">
        <f>_xlfn.TEXTBEFORE(_xlfn.TEXTAFTER(B27,"-")," ")</f>
        <v>I66Q</v>
      </c>
      <c r="J27">
        <f t="shared" si="0"/>
        <v>3.5185575485230158E-2</v>
      </c>
    </row>
    <row r="28" spans="1:10" x14ac:dyDescent="0.2">
      <c r="A28">
        <v>7927</v>
      </c>
      <c r="B28" t="s">
        <v>43</v>
      </c>
      <c r="C28">
        <v>1.5309479236602701</v>
      </c>
      <c r="D28">
        <v>0.47644990682601901</v>
      </c>
      <c r="E28">
        <v>1.6527737379073999</v>
      </c>
      <c r="F28">
        <v>0.48684391379356301</v>
      </c>
      <c r="G28">
        <v>1.4091222286224301</v>
      </c>
      <c r="H28">
        <v>0.46605592966079701</v>
      </c>
      <c r="I28" t="str">
        <f>_xlfn.TEXTBEFORE(_xlfn.TEXTAFTER(B28,"-")," ")</f>
        <v>I66N</v>
      </c>
      <c r="J28">
        <f t="shared" si="0"/>
        <v>3.3969163894659982E-2</v>
      </c>
    </row>
    <row r="29" spans="1:10" x14ac:dyDescent="0.2">
      <c r="A29">
        <v>7934</v>
      </c>
      <c r="B29" t="s">
        <v>36</v>
      </c>
      <c r="C29">
        <v>1.53511142730712</v>
      </c>
      <c r="D29">
        <v>0.47143238782882602</v>
      </c>
      <c r="E29">
        <v>1.64271020889282</v>
      </c>
      <c r="F29">
        <v>0.49412909150123502</v>
      </c>
      <c r="G29">
        <v>1.42751252651214</v>
      </c>
      <c r="H29">
        <v>0.44873571395874001</v>
      </c>
      <c r="I29" t="str">
        <f>_xlfn.TEXTBEFORE(_xlfn.TEXTAFTER(B29,"-")," ")</f>
        <v>V74T</v>
      </c>
      <c r="J29">
        <f t="shared" si="0"/>
        <v>2.9805660247810062E-2</v>
      </c>
    </row>
    <row r="30" spans="1:10" x14ac:dyDescent="0.2">
      <c r="A30">
        <v>7924</v>
      </c>
      <c r="B30" t="s">
        <v>46</v>
      </c>
      <c r="C30">
        <v>1.5372886657714799</v>
      </c>
      <c r="D30">
        <v>0.47511780261993403</v>
      </c>
      <c r="E30">
        <v>1.7053151130676201</v>
      </c>
      <c r="F30">
        <v>0.50403040647506703</v>
      </c>
      <c r="G30">
        <v>1.36926221847534</v>
      </c>
      <c r="H30">
        <v>0.44620519876480103</v>
      </c>
      <c r="I30" t="str">
        <f>_xlfn.TEXTBEFORE(_xlfn.TEXTAFTER(B30,"-")," ")</f>
        <v>R131K</v>
      </c>
      <c r="J30">
        <f t="shared" si="0"/>
        <v>2.7628421783450152E-2</v>
      </c>
    </row>
    <row r="31" spans="1:10" x14ac:dyDescent="0.2">
      <c r="A31">
        <v>7943</v>
      </c>
      <c r="B31" t="s">
        <v>27</v>
      </c>
      <c r="C31">
        <v>1.53796887397766</v>
      </c>
      <c r="D31">
        <v>0.46120971441268899</v>
      </c>
      <c r="E31">
        <v>1.6604697704315099</v>
      </c>
      <c r="F31">
        <v>0.46862685680389399</v>
      </c>
      <c r="G31">
        <v>1.4154680967330899</v>
      </c>
      <c r="H31">
        <v>0.45379257202148399</v>
      </c>
      <c r="I31" t="str">
        <f>_xlfn.TEXTBEFORE(_xlfn.TEXTAFTER(B31,"-")," ")</f>
        <v>V49T</v>
      </c>
      <c r="J31">
        <f t="shared" si="0"/>
        <v>2.6948213577270064E-2</v>
      </c>
    </row>
    <row r="32" spans="1:10" x14ac:dyDescent="0.2">
      <c r="A32">
        <v>7959</v>
      </c>
      <c r="B32" t="s">
        <v>11</v>
      </c>
      <c r="C32">
        <v>1.54005002975463</v>
      </c>
      <c r="D32">
        <v>0.48098087310790999</v>
      </c>
      <c r="E32">
        <v>1.6863020658493</v>
      </c>
      <c r="F32">
        <v>0.49491199851036</v>
      </c>
      <c r="G32">
        <v>1.39379811286926</v>
      </c>
      <c r="H32">
        <v>0.46704977750778198</v>
      </c>
      <c r="I32" t="str">
        <f>_xlfn.TEXTBEFORE(_xlfn.TEXTAFTER(B32,"-")," ")</f>
        <v>V95E</v>
      </c>
      <c r="J32">
        <f t="shared" si="0"/>
        <v>2.4867057800300074E-2</v>
      </c>
    </row>
    <row r="33" spans="1:10" x14ac:dyDescent="0.2">
      <c r="A33">
        <v>7920</v>
      </c>
      <c r="B33" t="s">
        <v>50</v>
      </c>
      <c r="C33">
        <v>1.5404014587402299</v>
      </c>
      <c r="D33">
        <v>0.46594494581222501</v>
      </c>
      <c r="E33">
        <v>1.6591426134109399</v>
      </c>
      <c r="F33">
        <v>0.48598068952560403</v>
      </c>
      <c r="G33">
        <v>1.4216603040695099</v>
      </c>
      <c r="H33">
        <v>0.44590920209884599</v>
      </c>
      <c r="I33" t="str">
        <f>_xlfn.TEXTBEFORE(_xlfn.TEXTAFTER(B33,"-")," ")</f>
        <v>S102E</v>
      </c>
      <c r="J33">
        <f t="shared" si="0"/>
        <v>2.4515628814700152E-2</v>
      </c>
    </row>
    <row r="34" spans="1:10" x14ac:dyDescent="0.2">
      <c r="A34">
        <v>7931</v>
      </c>
      <c r="B34" t="s">
        <v>39</v>
      </c>
      <c r="C34">
        <v>1.5452690124511701</v>
      </c>
      <c r="D34">
        <v>0.48569792509078902</v>
      </c>
      <c r="E34">
        <v>1.74783515930175</v>
      </c>
      <c r="F34">
        <v>0.48956888914108199</v>
      </c>
      <c r="G34">
        <v>1.3427028656005799</v>
      </c>
      <c r="H34">
        <v>0.48182699084281899</v>
      </c>
      <c r="I34" t="str">
        <f>_xlfn.TEXTBEFORE(_xlfn.TEXTAFTER(B34,"-")," ")</f>
        <v>K121A</v>
      </c>
      <c r="J34">
        <f t="shared" si="0"/>
        <v>1.9648075103759988E-2</v>
      </c>
    </row>
    <row r="35" spans="1:10" x14ac:dyDescent="0.2">
      <c r="A35">
        <v>7933</v>
      </c>
      <c r="B35" t="s">
        <v>37</v>
      </c>
      <c r="C35">
        <v>1.5461661815643299</v>
      </c>
      <c r="D35">
        <v>0.48099482059478699</v>
      </c>
      <c r="E35">
        <v>1.70065152645111</v>
      </c>
      <c r="F35">
        <v>0.47831270098686202</v>
      </c>
      <c r="G35">
        <v>1.3916809558868399</v>
      </c>
      <c r="H35">
        <v>0.48367691040039001</v>
      </c>
      <c r="I35" t="str">
        <f>_xlfn.TEXTBEFORE(_xlfn.TEXTAFTER(B35,"-")," ")</f>
        <v>I66S</v>
      </c>
      <c r="J35">
        <f t="shared" si="0"/>
        <v>1.8750905990600142E-2</v>
      </c>
    </row>
    <row r="36" spans="1:10" x14ac:dyDescent="0.2">
      <c r="A36">
        <v>7939</v>
      </c>
      <c r="B36" t="s">
        <v>31</v>
      </c>
      <c r="C36">
        <v>1.55360627174377</v>
      </c>
      <c r="D36">
        <v>0.46845853328704801</v>
      </c>
      <c r="E36">
        <v>1.70048415660858</v>
      </c>
      <c r="F36">
        <v>0.47065952420234602</v>
      </c>
      <c r="G36">
        <v>1.40672826766967</v>
      </c>
      <c r="H36">
        <v>0.46625757217407199</v>
      </c>
      <c r="I36" t="str">
        <f>_xlfn.TEXTBEFORE(_xlfn.TEXTAFTER(B36,"-")," ")</f>
        <v>M41I</v>
      </c>
      <c r="J36">
        <f t="shared" si="0"/>
        <v>1.1310815811160113E-2</v>
      </c>
    </row>
    <row r="37" spans="1:10" x14ac:dyDescent="0.2">
      <c r="A37">
        <v>7935</v>
      </c>
      <c r="B37" t="s">
        <v>35</v>
      </c>
      <c r="C37">
        <v>1.5724750757217401</v>
      </c>
      <c r="D37">
        <v>0.48865547776222201</v>
      </c>
      <c r="E37">
        <v>1.75938725471496</v>
      </c>
      <c r="F37">
        <v>0.49081251025199801</v>
      </c>
      <c r="G37">
        <v>1.3855628967285101</v>
      </c>
      <c r="H37">
        <v>0.48649844527244501</v>
      </c>
      <c r="I37" t="str">
        <f>_xlfn.TEXTBEFORE(_xlfn.TEXTAFTER(B37,"-")," ")</f>
        <v>V91A</v>
      </c>
      <c r="J37">
        <f t="shared" si="0"/>
        <v>-7.5579881668099702E-3</v>
      </c>
    </row>
    <row r="38" spans="1:10" x14ac:dyDescent="0.2">
      <c r="A38">
        <v>7938</v>
      </c>
      <c r="B38" t="s">
        <v>32</v>
      </c>
      <c r="C38">
        <v>1.57925653457641</v>
      </c>
      <c r="D38">
        <v>0.46548399329185403</v>
      </c>
      <c r="E38">
        <v>1.6918593645095801</v>
      </c>
      <c r="F38">
        <v>0.48759144544601402</v>
      </c>
      <c r="G38">
        <v>1.46665382385253</v>
      </c>
      <c r="H38">
        <v>0.44337654113769498</v>
      </c>
      <c r="I38" t="str">
        <f>_xlfn.TEXTBEFORE(_xlfn.TEXTAFTER(B38,"-")," ")</f>
        <v>S102T</v>
      </c>
      <c r="J38">
        <f t="shared" si="0"/>
        <v>-1.4339447021479934E-2</v>
      </c>
    </row>
    <row r="39" spans="1:10" x14ac:dyDescent="0.2">
      <c r="A39">
        <v>7946</v>
      </c>
      <c r="B39" t="s">
        <v>24</v>
      </c>
      <c r="C39">
        <v>1.5818171501159599</v>
      </c>
      <c r="D39">
        <v>0.477999508380889</v>
      </c>
      <c r="E39">
        <v>1.78286969661712</v>
      </c>
      <c r="F39">
        <v>0.48876038193702698</v>
      </c>
      <c r="G39">
        <v>1.38076448440551</v>
      </c>
      <c r="H39">
        <v>0.46723863482475197</v>
      </c>
      <c r="I39" t="str">
        <f>_xlfn.TEXTBEFORE(_xlfn.TEXTAFTER(B39,"-")," ")</f>
        <v>K121G</v>
      </c>
      <c r="J39">
        <f t="shared" si="0"/>
        <v>-1.6900062561029827E-2</v>
      </c>
    </row>
    <row r="40" spans="1:10" x14ac:dyDescent="0.2">
      <c r="A40">
        <v>7961</v>
      </c>
      <c r="B40" t="s">
        <v>9</v>
      </c>
      <c r="C40">
        <v>1.58345651626586</v>
      </c>
      <c r="D40">
        <v>0.47759348154067899</v>
      </c>
      <c r="E40">
        <v>1.76357090473175</v>
      </c>
      <c r="F40">
        <v>0.49012643098831099</v>
      </c>
      <c r="G40">
        <v>1.40334224700927</v>
      </c>
      <c r="H40">
        <v>0.46506050229072499</v>
      </c>
      <c r="I40" t="str">
        <f>_xlfn.TEXTBEFORE(_xlfn.TEXTAFTER(B40,"-")," ")</f>
        <v>V91T</v>
      </c>
      <c r="J40">
        <f t="shared" si="0"/>
        <v>-1.853942871092995E-2</v>
      </c>
    </row>
    <row r="41" spans="1:10" x14ac:dyDescent="0.2">
      <c r="A41">
        <v>7957</v>
      </c>
      <c r="B41" t="s">
        <v>13</v>
      </c>
      <c r="C41">
        <v>1.59496080875396</v>
      </c>
      <c r="D41">
        <v>0.46148052811622597</v>
      </c>
      <c r="E41">
        <v>1.7900813817977901</v>
      </c>
      <c r="F41">
        <v>0.46023866534232999</v>
      </c>
      <c r="G41">
        <v>1.39984023571014</v>
      </c>
      <c r="H41">
        <v>0.46272239089012102</v>
      </c>
      <c r="I41" t="str">
        <f>_xlfn.TEXTBEFORE(_xlfn.TEXTAFTER(B41,"-")," ")</f>
        <v>I85V</v>
      </c>
      <c r="J41">
        <f t="shared" si="0"/>
        <v>-3.0043721199029871E-2</v>
      </c>
    </row>
    <row r="42" spans="1:10" x14ac:dyDescent="0.2">
      <c r="A42">
        <v>7932</v>
      </c>
      <c r="B42" t="s">
        <v>38</v>
      </c>
      <c r="C42">
        <v>1.5969719886779701</v>
      </c>
      <c r="D42">
        <v>0.48709839582443198</v>
      </c>
      <c r="E42">
        <v>1.76974236965179</v>
      </c>
      <c r="F42">
        <v>0.49817231297492898</v>
      </c>
      <c r="G42">
        <v>1.4242014884948699</v>
      </c>
      <c r="H42">
        <v>0.47602447867393399</v>
      </c>
      <c r="I42" t="str">
        <f>_xlfn.TEXTBEFORE(_xlfn.TEXTAFTER(B42,"-")," ")</f>
        <v>K121D</v>
      </c>
      <c r="J42">
        <f t="shared" si="0"/>
        <v>-3.2054901123039992E-2</v>
      </c>
    </row>
    <row r="43" spans="1:10" x14ac:dyDescent="0.2">
      <c r="A43">
        <v>7926</v>
      </c>
      <c r="B43" t="s">
        <v>44</v>
      </c>
      <c r="C43">
        <v>1.59782397747039</v>
      </c>
      <c r="D43">
        <v>0.47960251569747903</v>
      </c>
      <c r="E43">
        <v>1.8254586458206099</v>
      </c>
      <c r="F43">
        <v>0.48841768503188998</v>
      </c>
      <c r="G43">
        <v>1.37018930912017</v>
      </c>
      <c r="H43">
        <v>0.47078737616539001</v>
      </c>
      <c r="I43" t="str">
        <f>_xlfn.TEXTBEFORE(_xlfn.TEXTAFTER(B43,"-")," ")</f>
        <v>M41V</v>
      </c>
      <c r="J43">
        <f t="shared" si="0"/>
        <v>-3.2906889915459869E-2</v>
      </c>
    </row>
    <row r="44" spans="1:10" x14ac:dyDescent="0.2">
      <c r="A44">
        <v>7958</v>
      </c>
      <c r="B44" t="s">
        <v>12</v>
      </c>
      <c r="C44">
        <v>1.6094956398010201</v>
      </c>
      <c r="D44">
        <v>0.49126309156417802</v>
      </c>
      <c r="E44">
        <v>1.8165978193282999</v>
      </c>
      <c r="F44">
        <v>0.512986540794372</v>
      </c>
      <c r="G44">
        <v>1.40239334106445</v>
      </c>
      <c r="H44">
        <v>0.46953961253166199</v>
      </c>
      <c r="I44" t="str">
        <f>_xlfn.TEXTBEFORE(_xlfn.TEXTAFTER(B44,"-")," ")</f>
        <v>M41C</v>
      </c>
      <c r="J44">
        <f t="shared" si="0"/>
        <v>-4.4578552246089975E-2</v>
      </c>
    </row>
    <row r="45" spans="1:10" x14ac:dyDescent="0.2">
      <c r="A45">
        <v>7923</v>
      </c>
      <c r="B45" t="s">
        <v>47</v>
      </c>
      <c r="C45">
        <v>1.6336691379547099</v>
      </c>
      <c r="D45">
        <v>0.45565325021743702</v>
      </c>
      <c r="E45">
        <v>1.8281790018081601</v>
      </c>
      <c r="F45">
        <v>0.45473375916481001</v>
      </c>
      <c r="G45">
        <v>1.43915915489196</v>
      </c>
      <c r="H45">
        <v>0.45657277107238697</v>
      </c>
      <c r="I45" t="str">
        <f>_xlfn.TEXTBEFORE(_xlfn.TEXTAFTER(B45,"-")," ")</f>
        <v>I66R</v>
      </c>
      <c r="J45">
        <f t="shared" si="0"/>
        <v>-6.8752050399779829E-2</v>
      </c>
    </row>
    <row r="46" spans="1:10" x14ac:dyDescent="0.2">
      <c r="A46">
        <v>7949</v>
      </c>
      <c r="B46" t="s">
        <v>21</v>
      </c>
      <c r="C46">
        <v>1.63468778133392</v>
      </c>
      <c r="D46">
        <v>0.466150522232055</v>
      </c>
      <c r="E46">
        <v>1.7937608957290601</v>
      </c>
      <c r="F46">
        <v>0.48258221149444502</v>
      </c>
      <c r="G46">
        <v>1.47561466693878</v>
      </c>
      <c r="H46">
        <v>0.44971886277198703</v>
      </c>
      <c r="I46" t="str">
        <f>_xlfn.TEXTBEFORE(_xlfn.TEXTAFTER(B46,"-")," ")</f>
        <v>S102N</v>
      </c>
      <c r="J46">
        <f t="shared" si="0"/>
        <v>-6.9770693778989923E-2</v>
      </c>
    </row>
    <row r="47" spans="1:10" x14ac:dyDescent="0.2">
      <c r="A47">
        <v>7951</v>
      </c>
      <c r="B47" t="s">
        <v>19</v>
      </c>
      <c r="C47">
        <v>1.6576796770095801</v>
      </c>
      <c r="D47">
        <v>0.42478412389755199</v>
      </c>
      <c r="E47">
        <v>1.8201204538345299</v>
      </c>
      <c r="F47">
        <v>0.42080661654472301</v>
      </c>
      <c r="G47">
        <v>1.49523890018463</v>
      </c>
      <c r="H47">
        <v>0.42876166105270302</v>
      </c>
      <c r="I47" t="str">
        <f>_xlfn.TEXTBEFORE(_xlfn.TEXTAFTER(B47,"-")," ")</f>
        <v>H94Q</v>
      </c>
      <c r="J47">
        <f t="shared" si="0"/>
        <v>-9.2762589454649991E-2</v>
      </c>
    </row>
    <row r="48" spans="1:10" x14ac:dyDescent="0.2">
      <c r="A48">
        <v>7954</v>
      </c>
      <c r="B48" t="s">
        <v>16</v>
      </c>
      <c r="C48">
        <v>1.66259121894836</v>
      </c>
      <c r="D48">
        <v>0.477805435657501</v>
      </c>
      <c r="E48">
        <v>1.9039003849029501</v>
      </c>
      <c r="F48">
        <v>0.49399894475936801</v>
      </c>
      <c r="G48">
        <v>1.42128205299377</v>
      </c>
      <c r="H48">
        <v>0.46161195635795499</v>
      </c>
      <c r="I48" t="str">
        <f>_xlfn.TEXTBEFORE(_xlfn.TEXTAFTER(B48,"-")," ")</f>
        <v>I66H</v>
      </c>
      <c r="J48">
        <f t="shared" si="0"/>
        <v>-9.7674131393429953E-2</v>
      </c>
    </row>
    <row r="49" spans="1:10" x14ac:dyDescent="0.2">
      <c r="A49">
        <v>8000</v>
      </c>
      <c r="B49" t="s">
        <v>57</v>
      </c>
      <c r="C49">
        <v>1.28108930587768</v>
      </c>
      <c r="D49">
        <v>0.53254044055938698</v>
      </c>
      <c r="E49">
        <v>1.3715459108352599</v>
      </c>
      <c r="F49">
        <v>0.52879500389099099</v>
      </c>
      <c r="G49">
        <v>1.1906327009201001</v>
      </c>
      <c r="H49">
        <v>1.4616119563579599</v>
      </c>
      <c r="I49" t="str">
        <f t="shared" ref="I49:I98" si="1">_xlfn.TEXTBEFORE(_xlfn.TEXTAFTER(B49,"-")," ")</f>
        <v>I52Q_R109V</v>
      </c>
      <c r="J49">
        <f t="shared" si="0"/>
        <v>0.28382778167725009</v>
      </c>
    </row>
    <row r="50" spans="1:10" x14ac:dyDescent="0.2">
      <c r="A50">
        <v>8007</v>
      </c>
      <c r="B50" t="s">
        <v>58</v>
      </c>
      <c r="C50">
        <v>1.31642961502075</v>
      </c>
      <c r="D50">
        <v>0.52021539211273105</v>
      </c>
      <c r="E50">
        <v>1.40086829662323</v>
      </c>
      <c r="F50">
        <v>0.51778882741928101</v>
      </c>
      <c r="G50">
        <v>1.2319910526275599</v>
      </c>
      <c r="H50">
        <v>2.4616119563579599</v>
      </c>
      <c r="I50" t="str">
        <f t="shared" si="1"/>
        <v>I52M_E62V</v>
      </c>
      <c r="J50">
        <f t="shared" si="0"/>
        <v>0.24848747253418013</v>
      </c>
    </row>
    <row r="51" spans="1:10" x14ac:dyDescent="0.2">
      <c r="A51">
        <v>7979</v>
      </c>
      <c r="B51" t="s">
        <v>59</v>
      </c>
      <c r="C51">
        <v>1.32274413108825</v>
      </c>
      <c r="D51">
        <v>0.50910496711730902</v>
      </c>
      <c r="E51">
        <v>1.4138864278793299</v>
      </c>
      <c r="F51">
        <v>0.52392143011093095</v>
      </c>
      <c r="G51">
        <v>1.23160195350646</v>
      </c>
      <c r="H51">
        <v>3.4616119563579599</v>
      </c>
      <c r="I51" t="str">
        <f t="shared" si="1"/>
        <v>I52M_S102Q</v>
      </c>
      <c r="J51">
        <f t="shared" si="0"/>
        <v>0.24217295646668013</v>
      </c>
    </row>
    <row r="52" spans="1:10" x14ac:dyDescent="0.2">
      <c r="A52">
        <v>7987</v>
      </c>
      <c r="B52" t="s">
        <v>60</v>
      </c>
      <c r="C52">
        <v>1.33804154396057</v>
      </c>
      <c r="D52">
        <v>0.51134866476058904</v>
      </c>
      <c r="E52">
        <v>1.4557136297225901</v>
      </c>
      <c r="F52">
        <v>0.50284618139266901</v>
      </c>
      <c r="G52">
        <v>1.22036957740783</v>
      </c>
      <c r="H52">
        <v>4.4616119563579604</v>
      </c>
      <c r="I52" t="str">
        <f t="shared" si="1"/>
        <v>I52M_K101Q</v>
      </c>
      <c r="J52">
        <f t="shared" si="0"/>
        <v>0.22687554359436013</v>
      </c>
    </row>
    <row r="53" spans="1:10" x14ac:dyDescent="0.2">
      <c r="A53">
        <v>7977</v>
      </c>
      <c r="B53" t="s">
        <v>61</v>
      </c>
      <c r="C53">
        <v>1.34615802764892</v>
      </c>
      <c r="D53">
        <v>0.50094646215438798</v>
      </c>
      <c r="E53">
        <v>1.3657919168472199</v>
      </c>
      <c r="F53">
        <v>0.513108789920806</v>
      </c>
      <c r="G53">
        <v>1.3265242576599099</v>
      </c>
      <c r="H53">
        <v>5.4616119563579604</v>
      </c>
      <c r="I53" t="str">
        <f t="shared" si="1"/>
        <v>M41L_I52M</v>
      </c>
      <c r="J53">
        <f t="shared" si="0"/>
        <v>0.21875905990601008</v>
      </c>
    </row>
    <row r="54" spans="1:10" x14ac:dyDescent="0.2">
      <c r="A54">
        <v>7978</v>
      </c>
      <c r="B54" t="s">
        <v>62</v>
      </c>
      <c r="C54">
        <v>1.34628558158874</v>
      </c>
      <c r="D54">
        <v>0.53267073631286599</v>
      </c>
      <c r="E54">
        <v>1.4230550527572601</v>
      </c>
      <c r="F54">
        <v>0.54867285490036</v>
      </c>
      <c r="G54">
        <v>1.26951599121093</v>
      </c>
      <c r="H54">
        <v>6.4616119563579604</v>
      </c>
      <c r="I54" t="str">
        <f t="shared" si="1"/>
        <v>M41N_I52M</v>
      </c>
      <c r="J54">
        <f t="shared" si="0"/>
        <v>0.21863150596619008</v>
      </c>
    </row>
    <row r="55" spans="1:10" x14ac:dyDescent="0.2">
      <c r="A55">
        <v>7988</v>
      </c>
      <c r="B55" t="s">
        <v>63</v>
      </c>
      <c r="C55">
        <v>1.3590116500854399</v>
      </c>
      <c r="D55">
        <v>0.54597580432891801</v>
      </c>
      <c r="E55">
        <v>1.4923342466354299</v>
      </c>
      <c r="F55">
        <v>0.57080674171447698</v>
      </c>
      <c r="G55">
        <v>1.2256889343261701</v>
      </c>
      <c r="H55">
        <v>7.4616119563579604</v>
      </c>
      <c r="I55" t="str">
        <f t="shared" si="1"/>
        <v>M41T_I52M</v>
      </c>
      <c r="J55">
        <f t="shared" si="0"/>
        <v>0.20590543746949019</v>
      </c>
    </row>
    <row r="56" spans="1:10" x14ac:dyDescent="0.2">
      <c r="A56">
        <v>7969</v>
      </c>
      <c r="B56" t="s">
        <v>64</v>
      </c>
      <c r="C56">
        <v>1.3694043159484801</v>
      </c>
      <c r="D56">
        <v>0.48953038454055697</v>
      </c>
      <c r="E56">
        <v>1.4226309061050399</v>
      </c>
      <c r="F56">
        <v>0.49525713920593201</v>
      </c>
      <c r="G56">
        <v>1.31617772579193</v>
      </c>
      <c r="H56">
        <v>8.4616119563579506</v>
      </c>
      <c r="I56" t="str">
        <f t="shared" si="1"/>
        <v>M41A_I52M</v>
      </c>
      <c r="J56">
        <f t="shared" si="0"/>
        <v>0.19551277160644998</v>
      </c>
    </row>
    <row r="57" spans="1:10" x14ac:dyDescent="0.2">
      <c r="A57">
        <v>8002</v>
      </c>
      <c r="B57" t="s">
        <v>65</v>
      </c>
      <c r="C57">
        <v>1.3737874031066799</v>
      </c>
      <c r="D57">
        <v>0.51310741901397705</v>
      </c>
      <c r="E57">
        <v>1.4519406557083101</v>
      </c>
      <c r="F57">
        <v>0.52509623765945401</v>
      </c>
      <c r="G57">
        <v>1.2956342697143499</v>
      </c>
      <c r="H57">
        <v>9.4616119563579506</v>
      </c>
      <c r="I57" t="str">
        <f t="shared" si="1"/>
        <v>I52M_S102D</v>
      </c>
      <c r="J57">
        <f t="shared" si="0"/>
        <v>0.19112968444825018</v>
      </c>
    </row>
    <row r="58" spans="1:10" x14ac:dyDescent="0.2">
      <c r="A58">
        <v>8001</v>
      </c>
      <c r="B58" t="s">
        <v>66</v>
      </c>
      <c r="C58">
        <v>1.37889611721038</v>
      </c>
      <c r="D58">
        <v>0.53717523813247603</v>
      </c>
      <c r="E58">
        <v>1.48037004470825</v>
      </c>
      <c r="F58">
        <v>0.55704665184020996</v>
      </c>
      <c r="G58">
        <v>1.27742218971252</v>
      </c>
      <c r="H58">
        <v>10.461611956358</v>
      </c>
      <c r="I58" t="str">
        <f t="shared" si="1"/>
        <v>M41T_V91S</v>
      </c>
      <c r="J58">
        <f t="shared" si="0"/>
        <v>0.18602097034455012</v>
      </c>
    </row>
    <row r="59" spans="1:10" x14ac:dyDescent="0.2">
      <c r="A59">
        <v>8003</v>
      </c>
      <c r="B59" t="s">
        <v>67</v>
      </c>
      <c r="C59">
        <v>1.3927617073059</v>
      </c>
      <c r="D59">
        <v>0.50777804851531905</v>
      </c>
      <c r="E59">
        <v>1.4843841791152901</v>
      </c>
      <c r="F59">
        <v>0.51790857315063399</v>
      </c>
      <c r="G59">
        <v>1.3011393547058101</v>
      </c>
      <c r="H59">
        <v>11.461611956358</v>
      </c>
      <c r="I59" t="str">
        <f t="shared" si="1"/>
        <v>I52M_E110L</v>
      </c>
      <c r="J59">
        <f t="shared" si="0"/>
        <v>0.1721553802490301</v>
      </c>
    </row>
    <row r="60" spans="1:10" x14ac:dyDescent="0.2">
      <c r="A60">
        <v>7974</v>
      </c>
      <c r="B60" t="s">
        <v>68</v>
      </c>
      <c r="C60">
        <v>1.3964055776596001</v>
      </c>
      <c r="D60">
        <v>0.52060019969940097</v>
      </c>
      <c r="E60">
        <v>1.5572602748870801</v>
      </c>
      <c r="F60">
        <v>0.53761446475982599</v>
      </c>
      <c r="G60">
        <v>1.23555088043212</v>
      </c>
      <c r="H60">
        <v>12.461611956358</v>
      </c>
      <c r="I60" t="str">
        <f t="shared" si="1"/>
        <v>I52M_K80H</v>
      </c>
      <c r="J60">
        <f t="shared" si="0"/>
        <v>0.16851150989533004</v>
      </c>
    </row>
    <row r="61" spans="1:10" x14ac:dyDescent="0.2">
      <c r="A61">
        <v>7970</v>
      </c>
      <c r="B61" t="s">
        <v>69</v>
      </c>
      <c r="C61">
        <v>1.3986680507659901</v>
      </c>
      <c r="D61">
        <v>0.49481940269470198</v>
      </c>
      <c r="E61">
        <v>1.48264920711517</v>
      </c>
      <c r="F61">
        <v>0.50616049766540505</v>
      </c>
      <c r="G61">
        <v>1.31468701362609</v>
      </c>
      <c r="H61">
        <v>13.461611956358</v>
      </c>
      <c r="I61" t="str">
        <f t="shared" si="1"/>
        <v>I52M_E110M</v>
      </c>
      <c r="J61">
        <f t="shared" si="0"/>
        <v>0.16624903678893999</v>
      </c>
    </row>
    <row r="62" spans="1:10" x14ac:dyDescent="0.2">
      <c r="A62">
        <v>7995</v>
      </c>
      <c r="B62" t="s">
        <v>70</v>
      </c>
      <c r="C62">
        <v>1.40198874473571</v>
      </c>
      <c r="D62">
        <v>0.53409302234649603</v>
      </c>
      <c r="E62">
        <v>1.47899854183197</v>
      </c>
      <c r="F62">
        <v>0.54429793357849099</v>
      </c>
      <c r="G62">
        <v>1.32497906684875</v>
      </c>
      <c r="H62">
        <v>14.461611956358</v>
      </c>
      <c r="I62" t="str">
        <f t="shared" si="1"/>
        <v>M41N_S102D</v>
      </c>
      <c r="J62">
        <f t="shared" si="0"/>
        <v>0.16292834281922008</v>
      </c>
    </row>
    <row r="63" spans="1:10" x14ac:dyDescent="0.2">
      <c r="A63">
        <v>7971</v>
      </c>
      <c r="B63" t="s">
        <v>71</v>
      </c>
      <c r="C63">
        <v>1.40415811538696</v>
      </c>
      <c r="D63">
        <v>0.532545685768127</v>
      </c>
      <c r="E63">
        <v>1.55847203731536</v>
      </c>
      <c r="F63">
        <v>0.54136317968368497</v>
      </c>
      <c r="G63">
        <v>1.24984431266784</v>
      </c>
      <c r="H63">
        <v>15.461611956358</v>
      </c>
      <c r="I63" t="str">
        <f t="shared" si="1"/>
        <v>M41S_I52M</v>
      </c>
      <c r="J63">
        <f t="shared" si="0"/>
        <v>0.16075897216797008</v>
      </c>
    </row>
    <row r="64" spans="1:10" x14ac:dyDescent="0.2">
      <c r="A64">
        <v>7967</v>
      </c>
      <c r="B64" t="s">
        <v>72</v>
      </c>
      <c r="C64">
        <v>1.40443444252014</v>
      </c>
      <c r="D64">
        <v>0.51471924781799305</v>
      </c>
      <c r="E64">
        <v>1.4970389604568399</v>
      </c>
      <c r="F64">
        <v>0.52851235866546598</v>
      </c>
      <c r="G64">
        <v>1.3118300437927199</v>
      </c>
      <c r="H64">
        <v>16.461611956357999</v>
      </c>
      <c r="I64" t="str">
        <f t="shared" si="1"/>
        <v>I52L_V91S</v>
      </c>
      <c r="J64">
        <f t="shared" si="0"/>
        <v>0.16048264503479004</v>
      </c>
    </row>
    <row r="65" spans="1:10" x14ac:dyDescent="0.2">
      <c r="A65">
        <v>7998</v>
      </c>
      <c r="B65" t="s">
        <v>73</v>
      </c>
      <c r="C65">
        <v>1.4047117233276301</v>
      </c>
      <c r="D65">
        <v>0.48930758237838701</v>
      </c>
      <c r="E65">
        <v>1.5541905164718599</v>
      </c>
      <c r="F65">
        <v>0.48275402188300998</v>
      </c>
      <c r="G65">
        <v>1.2552330493927</v>
      </c>
      <c r="H65">
        <v>17.461611956357999</v>
      </c>
      <c r="I65" t="str">
        <f t="shared" si="1"/>
        <v>I52M_T84L</v>
      </c>
      <c r="J65">
        <f t="shared" si="0"/>
        <v>0.16020536422730003</v>
      </c>
    </row>
    <row r="66" spans="1:10" x14ac:dyDescent="0.2">
      <c r="A66">
        <v>7983</v>
      </c>
      <c r="B66" t="s">
        <v>74</v>
      </c>
      <c r="C66">
        <v>1.4057439565658501</v>
      </c>
      <c r="D66">
        <v>0.53992438316345204</v>
      </c>
      <c r="E66">
        <v>1.51063084602355</v>
      </c>
      <c r="F66">
        <v>0.55657285451889005</v>
      </c>
      <c r="G66">
        <v>1.3008570671081501</v>
      </c>
      <c r="H66">
        <v>18.461611956357999</v>
      </c>
      <c r="I66" t="str">
        <f t="shared" si="1"/>
        <v>M41Q_V91S</v>
      </c>
      <c r="J66">
        <f t="shared" si="0"/>
        <v>0.15917313098908004</v>
      </c>
    </row>
    <row r="67" spans="1:10" x14ac:dyDescent="0.2">
      <c r="A67">
        <v>7986</v>
      </c>
      <c r="B67" t="s">
        <v>75</v>
      </c>
      <c r="C67">
        <v>1.40707600116729</v>
      </c>
      <c r="D67">
        <v>0.498633623123168</v>
      </c>
      <c r="E67">
        <v>1.49330759048461</v>
      </c>
      <c r="F67">
        <v>0.49944260716438199</v>
      </c>
      <c r="G67">
        <v>1.32084441184997</v>
      </c>
      <c r="H67">
        <v>19.461611956357999</v>
      </c>
      <c r="I67" t="str">
        <f t="shared" si="1"/>
        <v>I52L_E62V</v>
      </c>
      <c r="J67">
        <f t="shared" ref="J67:J98" si="2">$C$2-C67</f>
        <v>0.15784108638764005</v>
      </c>
    </row>
    <row r="68" spans="1:10" x14ac:dyDescent="0.2">
      <c r="A68">
        <v>8005</v>
      </c>
      <c r="B68" t="s">
        <v>76</v>
      </c>
      <c r="C68">
        <v>1.40728092193603</v>
      </c>
      <c r="D68">
        <v>0.49185764789581299</v>
      </c>
      <c r="E68">
        <v>1.49677562713623</v>
      </c>
      <c r="F68">
        <v>0.50122708082199097</v>
      </c>
      <c r="G68">
        <v>1.3177862167358301</v>
      </c>
      <c r="H68">
        <v>20.461611956357999</v>
      </c>
      <c r="I68" t="str">
        <f t="shared" si="1"/>
        <v>I52L_S102D</v>
      </c>
      <c r="J68">
        <f t="shared" si="2"/>
        <v>0.15763616561890004</v>
      </c>
    </row>
    <row r="69" spans="1:10" x14ac:dyDescent="0.2">
      <c r="A69">
        <v>7972</v>
      </c>
      <c r="B69" t="s">
        <v>77</v>
      </c>
      <c r="C69">
        <v>1.4098744392395</v>
      </c>
      <c r="D69">
        <v>0.49104195833206099</v>
      </c>
      <c r="E69">
        <v>1.4531000852584799</v>
      </c>
      <c r="F69">
        <v>0.50402617454528797</v>
      </c>
      <c r="G69">
        <v>1.36664867401123</v>
      </c>
      <c r="H69">
        <v>21.461611956357999</v>
      </c>
      <c r="I69" t="str">
        <f t="shared" si="1"/>
        <v>I52F_S102D</v>
      </c>
      <c r="J69">
        <f t="shared" si="2"/>
        <v>0.15504264831543013</v>
      </c>
    </row>
    <row r="70" spans="1:10" x14ac:dyDescent="0.2">
      <c r="A70">
        <v>7997</v>
      </c>
      <c r="B70" t="s">
        <v>78</v>
      </c>
      <c r="C70">
        <v>1.4147765636444001</v>
      </c>
      <c r="D70">
        <v>0.51432240009307795</v>
      </c>
      <c r="E70">
        <v>1.56707155704498</v>
      </c>
      <c r="F70">
        <v>0.51365894079208296</v>
      </c>
      <c r="G70">
        <v>1.2624816894531199</v>
      </c>
      <c r="H70">
        <v>22.461611956357999</v>
      </c>
      <c r="I70" t="str">
        <f t="shared" si="1"/>
        <v>I50V_I52M</v>
      </c>
      <c r="J70">
        <f t="shared" si="2"/>
        <v>0.15014052391053001</v>
      </c>
    </row>
    <row r="71" spans="1:10" x14ac:dyDescent="0.2">
      <c r="A71">
        <v>7966</v>
      </c>
      <c r="B71" t="s">
        <v>79</v>
      </c>
      <c r="C71">
        <v>1.41661596298217</v>
      </c>
      <c r="D71">
        <v>0.50195527076721103</v>
      </c>
      <c r="E71">
        <v>1.5326734781265201</v>
      </c>
      <c r="F71">
        <v>0.50835239887237504</v>
      </c>
      <c r="G71">
        <v>1.30055856704711</v>
      </c>
      <c r="H71">
        <v>23.461611956357999</v>
      </c>
      <c r="I71" t="str">
        <f t="shared" si="1"/>
        <v>I52M_T84V</v>
      </c>
      <c r="J71">
        <f t="shared" si="2"/>
        <v>0.14830112457276012</v>
      </c>
    </row>
    <row r="72" spans="1:10" x14ac:dyDescent="0.2">
      <c r="A72">
        <v>7973</v>
      </c>
      <c r="B72" t="s">
        <v>80</v>
      </c>
      <c r="C72">
        <v>1.41788482666015</v>
      </c>
      <c r="D72">
        <v>0.53348177671432495</v>
      </c>
      <c r="E72">
        <v>1.58449494838714</v>
      </c>
      <c r="F72">
        <v>0.53630000352859497</v>
      </c>
      <c r="G72">
        <v>1.2512748241424501</v>
      </c>
      <c r="H72">
        <v>24.461611956357999</v>
      </c>
      <c r="I72" t="str">
        <f t="shared" si="1"/>
        <v>M41Q_I52M</v>
      </c>
      <c r="J72">
        <f t="shared" si="2"/>
        <v>0.14703226089478005</v>
      </c>
    </row>
    <row r="73" spans="1:10" x14ac:dyDescent="0.2">
      <c r="A73">
        <v>8006</v>
      </c>
      <c r="B73" t="s">
        <v>81</v>
      </c>
      <c r="C73">
        <v>1.4233027696609399</v>
      </c>
      <c r="D73">
        <v>0.51519584655761697</v>
      </c>
      <c r="E73">
        <v>1.5896248817443801</v>
      </c>
      <c r="F73">
        <v>0.50869935750961304</v>
      </c>
      <c r="G73">
        <v>1.25698065757751</v>
      </c>
      <c r="H73">
        <v>25.461611956357999</v>
      </c>
      <c r="I73" t="str">
        <f t="shared" si="1"/>
        <v>I52M_V91S</v>
      </c>
      <c r="J73">
        <f t="shared" si="2"/>
        <v>0.14161431789399015</v>
      </c>
    </row>
    <row r="74" spans="1:10" x14ac:dyDescent="0.2">
      <c r="A74">
        <v>8009</v>
      </c>
      <c r="B74" t="s">
        <v>82</v>
      </c>
      <c r="C74">
        <v>1.44375824928283</v>
      </c>
      <c r="D74">
        <v>0.500554919242858</v>
      </c>
      <c r="E74">
        <v>1.51351618766784</v>
      </c>
      <c r="F74">
        <v>0.500405132770538</v>
      </c>
      <c r="G74">
        <v>1.37400043010711</v>
      </c>
      <c r="H74">
        <v>26.461611956357999</v>
      </c>
      <c r="I74" t="str">
        <f t="shared" si="1"/>
        <v>I52L_Q69K</v>
      </c>
      <c r="J74">
        <f t="shared" si="2"/>
        <v>0.12115883827210006</v>
      </c>
    </row>
    <row r="75" spans="1:10" x14ac:dyDescent="0.2">
      <c r="A75">
        <v>7982</v>
      </c>
      <c r="B75" t="s">
        <v>83</v>
      </c>
      <c r="C75">
        <v>1.4441449642181301</v>
      </c>
      <c r="D75">
        <v>0.500704765319824</v>
      </c>
      <c r="E75">
        <v>1.5661820173263501</v>
      </c>
      <c r="F75">
        <v>0.50299406051635698</v>
      </c>
      <c r="G75">
        <v>1.3221077919006301</v>
      </c>
      <c r="H75">
        <v>27.461611956357999</v>
      </c>
      <c r="I75" t="str">
        <f t="shared" si="1"/>
        <v>V45Q_I52M</v>
      </c>
      <c r="J75">
        <f t="shared" si="2"/>
        <v>0.12077212333679999</v>
      </c>
    </row>
    <row r="76" spans="1:10" x14ac:dyDescent="0.2">
      <c r="A76">
        <v>8008</v>
      </c>
      <c r="B76" t="s">
        <v>84</v>
      </c>
      <c r="C76">
        <v>1.4558093547821001</v>
      </c>
      <c r="D76">
        <v>0.497417211532592</v>
      </c>
      <c r="E76">
        <v>1.51853835582733</v>
      </c>
      <c r="F76">
        <v>0.52067404985427801</v>
      </c>
      <c r="G76">
        <v>1.3930804729461601</v>
      </c>
      <c r="H76">
        <v>28.461611956357999</v>
      </c>
      <c r="I76" t="str">
        <f t="shared" si="1"/>
        <v>M41L_T84L</v>
      </c>
      <c r="J76">
        <f t="shared" si="2"/>
        <v>0.10910773277283004</v>
      </c>
    </row>
    <row r="77" spans="1:10" x14ac:dyDescent="0.2">
      <c r="A77">
        <v>8010</v>
      </c>
      <c r="B77" t="s">
        <v>85</v>
      </c>
      <c r="C77">
        <v>1.46308541297912</v>
      </c>
      <c r="D77">
        <v>0.49994283914566001</v>
      </c>
      <c r="E77">
        <v>1.52999722957611</v>
      </c>
      <c r="F77">
        <v>0.51374775171279896</v>
      </c>
      <c r="G77">
        <v>1.39617371559143</v>
      </c>
      <c r="H77">
        <v>29.461611956357999</v>
      </c>
      <c r="I77" t="str">
        <f t="shared" si="1"/>
        <v>M41L_E62L</v>
      </c>
      <c r="J77">
        <f t="shared" si="2"/>
        <v>0.1018316745758101</v>
      </c>
    </row>
    <row r="78" spans="1:10" x14ac:dyDescent="0.2">
      <c r="A78">
        <v>7992</v>
      </c>
      <c r="B78" t="s">
        <v>86</v>
      </c>
      <c r="C78">
        <v>1.4714486598968499</v>
      </c>
      <c r="D78">
        <v>0.48507484793663003</v>
      </c>
      <c r="E78">
        <v>1.60345470905303</v>
      </c>
      <c r="F78">
        <v>0.50073593854904097</v>
      </c>
      <c r="G78">
        <v>1.3394424915313701</v>
      </c>
      <c r="H78">
        <v>30.461611956357999</v>
      </c>
      <c r="I78" t="str">
        <f t="shared" si="1"/>
        <v>I52M_D112G</v>
      </c>
      <c r="J78">
        <f t="shared" si="2"/>
        <v>9.3468427658080167E-2</v>
      </c>
    </row>
    <row r="79" spans="1:10" x14ac:dyDescent="0.2">
      <c r="A79">
        <v>7985</v>
      </c>
      <c r="B79" t="s">
        <v>87</v>
      </c>
      <c r="C79">
        <v>1.4716167449951101</v>
      </c>
      <c r="D79">
        <v>0.50304758548736495</v>
      </c>
      <c r="E79">
        <v>1.5809900760650599</v>
      </c>
      <c r="F79">
        <v>0.50929051637649503</v>
      </c>
      <c r="G79">
        <v>1.36224353313446</v>
      </c>
      <c r="H79">
        <v>31.461611956357999</v>
      </c>
      <c r="I79" t="str">
        <f t="shared" si="1"/>
        <v>M41L_K97S</v>
      </c>
      <c r="J79">
        <f t="shared" si="2"/>
        <v>9.3300342559820004E-2</v>
      </c>
    </row>
    <row r="80" spans="1:10" x14ac:dyDescent="0.2">
      <c r="A80">
        <v>7976</v>
      </c>
      <c r="B80" t="s">
        <v>88</v>
      </c>
      <c r="C80">
        <v>1.47380423545837</v>
      </c>
      <c r="D80">
        <v>0.48116719722747803</v>
      </c>
      <c r="E80">
        <v>1.5919282436370801</v>
      </c>
      <c r="F80">
        <v>0.49632099270820601</v>
      </c>
      <c r="G80">
        <v>1.35568022727966</v>
      </c>
      <c r="H80">
        <v>32.461611956357999</v>
      </c>
      <c r="I80" t="str">
        <f t="shared" si="1"/>
        <v>V45R_R109V</v>
      </c>
      <c r="J80">
        <f t="shared" si="2"/>
        <v>9.111285209656006E-2</v>
      </c>
    </row>
    <row r="81" spans="1:10" x14ac:dyDescent="0.2">
      <c r="A81">
        <v>7968</v>
      </c>
      <c r="B81" t="s">
        <v>89</v>
      </c>
      <c r="C81">
        <v>1.49063372611999</v>
      </c>
      <c r="D81">
        <v>0.49317285418510398</v>
      </c>
      <c r="E81">
        <v>1.59897172451019</v>
      </c>
      <c r="F81">
        <v>0.50565630197525002</v>
      </c>
      <c r="G81">
        <v>1.38229584693908</v>
      </c>
      <c r="H81">
        <v>33.461611956357999</v>
      </c>
      <c r="I81" t="str">
        <f t="shared" si="1"/>
        <v>V45Q_I52L</v>
      </c>
      <c r="J81">
        <f t="shared" si="2"/>
        <v>7.4283361434940076E-2</v>
      </c>
    </row>
    <row r="82" spans="1:10" x14ac:dyDescent="0.2">
      <c r="A82">
        <v>7963</v>
      </c>
      <c r="B82" t="s">
        <v>90</v>
      </c>
      <c r="C82">
        <v>1.49076175689697</v>
      </c>
      <c r="D82">
        <v>0.498580992221832</v>
      </c>
      <c r="E82">
        <v>1.7053962945938099</v>
      </c>
      <c r="F82">
        <v>0.50465762615203802</v>
      </c>
      <c r="G82">
        <v>1.2761272192001301</v>
      </c>
      <c r="H82">
        <v>34.461611956357999</v>
      </c>
      <c r="I82" t="str">
        <f t="shared" si="1"/>
        <v>V33M_I52L</v>
      </c>
      <c r="J82">
        <f t="shared" si="2"/>
        <v>7.4155330657960095E-2</v>
      </c>
    </row>
    <row r="83" spans="1:10" x14ac:dyDescent="0.2">
      <c r="A83">
        <v>7990</v>
      </c>
      <c r="B83" t="s">
        <v>91</v>
      </c>
      <c r="C83">
        <v>1.4929904937744101</v>
      </c>
      <c r="D83">
        <v>0.48745805025100702</v>
      </c>
      <c r="E83">
        <v>1.5885161161422701</v>
      </c>
      <c r="F83">
        <v>0.50199723243713301</v>
      </c>
      <c r="G83">
        <v>1.3974649906158401</v>
      </c>
      <c r="H83">
        <v>35.461611956357999</v>
      </c>
      <c r="I83" t="str">
        <f t="shared" si="1"/>
        <v>T84L_V91S</v>
      </c>
      <c r="J83">
        <f t="shared" si="2"/>
        <v>7.1926593780520021E-2</v>
      </c>
    </row>
    <row r="84" spans="1:10" x14ac:dyDescent="0.2">
      <c r="A84">
        <v>8004</v>
      </c>
      <c r="B84" t="s">
        <v>92</v>
      </c>
      <c r="C84">
        <v>1.4967987537384</v>
      </c>
      <c r="D84">
        <v>0.42217558622360202</v>
      </c>
      <c r="E84">
        <v>1.6017137765884399</v>
      </c>
      <c r="F84">
        <v>0.44440338015556302</v>
      </c>
      <c r="G84">
        <v>1.39188373088836</v>
      </c>
      <c r="H84">
        <v>36.461611956357999</v>
      </c>
      <c r="I84" t="str">
        <f t="shared" si="1"/>
        <v>M41E_I52M</v>
      </c>
      <c r="J84">
        <f t="shared" si="2"/>
        <v>6.8118333816530097E-2</v>
      </c>
    </row>
    <row r="85" spans="1:10" x14ac:dyDescent="0.2">
      <c r="A85">
        <v>8012</v>
      </c>
      <c r="B85" t="s">
        <v>93</v>
      </c>
      <c r="C85">
        <v>1.49849569797515</v>
      </c>
      <c r="D85">
        <v>0.488736152648925</v>
      </c>
      <c r="E85">
        <v>1.5669949054718</v>
      </c>
      <c r="F85">
        <v>0.50309568643569902</v>
      </c>
      <c r="G85">
        <v>1.4299964904785101</v>
      </c>
      <c r="H85">
        <v>37.461611956357999</v>
      </c>
      <c r="I85" t="str">
        <f t="shared" si="1"/>
        <v>I66T_S102D</v>
      </c>
      <c r="J85">
        <f t="shared" si="2"/>
        <v>6.6421389579780055E-2</v>
      </c>
    </row>
    <row r="86" spans="1:10" x14ac:dyDescent="0.2">
      <c r="A86">
        <v>7994</v>
      </c>
      <c r="B86" t="s">
        <v>94</v>
      </c>
      <c r="C86">
        <v>1.5011470317840501</v>
      </c>
      <c r="D86">
        <v>0.50453364849090498</v>
      </c>
      <c r="E86">
        <v>1.67658507823944</v>
      </c>
      <c r="F86">
        <v>0.503908991813659</v>
      </c>
      <c r="G86">
        <v>1.3257088661193801</v>
      </c>
      <c r="H86">
        <v>38.461611956357999</v>
      </c>
      <c r="I86" t="str">
        <f t="shared" si="1"/>
        <v>I52M_I66K</v>
      </c>
      <c r="J86">
        <f t="shared" si="2"/>
        <v>6.3770055770880019E-2</v>
      </c>
    </row>
    <row r="87" spans="1:10" x14ac:dyDescent="0.2">
      <c r="A87">
        <v>8011</v>
      </c>
      <c r="B87" t="s">
        <v>95</v>
      </c>
      <c r="C87">
        <v>1.50443935394287</v>
      </c>
      <c r="D87">
        <v>0.49385157227516102</v>
      </c>
      <c r="E87">
        <v>1.66415035724639</v>
      </c>
      <c r="F87">
        <v>0.50841635465621904</v>
      </c>
      <c r="G87">
        <v>1.3447282314300499</v>
      </c>
      <c r="H87">
        <v>39.461611956357999</v>
      </c>
      <c r="I87" t="str">
        <f t="shared" si="1"/>
        <v>R109V_E117K</v>
      </c>
      <c r="J87">
        <f t="shared" si="2"/>
        <v>6.0477733612060103E-2</v>
      </c>
    </row>
    <row r="88" spans="1:10" x14ac:dyDescent="0.2">
      <c r="A88">
        <v>7981</v>
      </c>
      <c r="B88" t="s">
        <v>96</v>
      </c>
      <c r="C88">
        <v>1.5066285133361801</v>
      </c>
      <c r="D88">
        <v>0.49831545352935702</v>
      </c>
      <c r="E88">
        <v>1.6218553781509399</v>
      </c>
      <c r="F88">
        <v>0.49453398585319502</v>
      </c>
      <c r="G88">
        <v>1.39140176773071</v>
      </c>
      <c r="H88">
        <v>40.461611956357999</v>
      </c>
      <c r="I88" t="str">
        <f t="shared" si="1"/>
        <v>M41L_V91S</v>
      </c>
      <c r="J88">
        <f t="shared" si="2"/>
        <v>5.828857421875E-2</v>
      </c>
    </row>
    <row r="89" spans="1:10" x14ac:dyDescent="0.2">
      <c r="A89">
        <v>7980</v>
      </c>
      <c r="B89" t="s">
        <v>97</v>
      </c>
      <c r="C89">
        <v>1.5074759721755899</v>
      </c>
      <c r="D89">
        <v>0.48644077777862499</v>
      </c>
      <c r="E89">
        <v>1.67840051651</v>
      </c>
      <c r="F89">
        <v>0.48338660597801197</v>
      </c>
      <c r="G89">
        <v>1.3365514278411801</v>
      </c>
      <c r="H89">
        <v>41.461611956357999</v>
      </c>
      <c r="I89" t="str">
        <f t="shared" si="1"/>
        <v>I52L_I63L</v>
      </c>
      <c r="J89">
        <f t="shared" si="2"/>
        <v>5.7441115379340157E-2</v>
      </c>
    </row>
    <row r="90" spans="1:10" x14ac:dyDescent="0.2">
      <c r="A90">
        <v>7989</v>
      </c>
      <c r="B90" t="s">
        <v>98</v>
      </c>
      <c r="C90">
        <v>1.50943374633789</v>
      </c>
      <c r="D90">
        <v>0.48707967996597201</v>
      </c>
      <c r="E90">
        <v>1.6902598142623899</v>
      </c>
      <c r="F90">
        <v>0.49423611164093001</v>
      </c>
      <c r="G90">
        <v>1.3286075592041</v>
      </c>
      <c r="H90">
        <v>42.461611956357999</v>
      </c>
      <c r="I90" t="str">
        <f t="shared" si="1"/>
        <v>I52M_S102V</v>
      </c>
      <c r="J90">
        <f t="shared" si="2"/>
        <v>5.5483341217040127E-2</v>
      </c>
    </row>
    <row r="91" spans="1:10" x14ac:dyDescent="0.2">
      <c r="A91">
        <v>7984</v>
      </c>
      <c r="B91" t="s">
        <v>99</v>
      </c>
      <c r="C91">
        <v>1.51852631568908</v>
      </c>
      <c r="D91">
        <v>0.47797083854675199</v>
      </c>
      <c r="E91">
        <v>1.6923956871032699</v>
      </c>
      <c r="F91">
        <v>0.48794597387313798</v>
      </c>
      <c r="G91">
        <v>1.3446569442748999</v>
      </c>
      <c r="H91">
        <v>43.461611956357999</v>
      </c>
      <c r="I91" t="str">
        <f t="shared" si="1"/>
        <v>I52L_S102L</v>
      </c>
      <c r="J91">
        <f t="shared" si="2"/>
        <v>4.6390771865850056E-2</v>
      </c>
    </row>
    <row r="92" spans="1:10" x14ac:dyDescent="0.2">
      <c r="A92">
        <v>7964</v>
      </c>
      <c r="B92" t="s">
        <v>100</v>
      </c>
      <c r="C92">
        <v>1.5219686031341499</v>
      </c>
      <c r="D92">
        <v>0.47735536098480202</v>
      </c>
      <c r="E92">
        <v>1.63093626499176</v>
      </c>
      <c r="F92">
        <v>0.48051956295967102</v>
      </c>
      <c r="G92">
        <v>1.4130008220672601</v>
      </c>
      <c r="H92">
        <v>44.461611956357999</v>
      </c>
      <c r="I92" t="str">
        <f t="shared" si="1"/>
        <v>M41L_I52V</v>
      </c>
      <c r="J92">
        <f t="shared" si="2"/>
        <v>4.2948484420780142E-2</v>
      </c>
    </row>
    <row r="93" spans="1:10" x14ac:dyDescent="0.2">
      <c r="A93">
        <v>7975</v>
      </c>
      <c r="B93" t="s">
        <v>101</v>
      </c>
      <c r="C93">
        <v>1.53184330463409</v>
      </c>
      <c r="D93">
        <v>0.47048568725585899</v>
      </c>
      <c r="E93">
        <v>1.7176047563552801</v>
      </c>
      <c r="F93">
        <v>0.47315615415573098</v>
      </c>
      <c r="G93">
        <v>1.3460818529128999</v>
      </c>
      <c r="H93">
        <v>45.461611956357999</v>
      </c>
      <c r="I93" t="str">
        <f t="shared" si="1"/>
        <v>I52L_S102V</v>
      </c>
      <c r="J93">
        <f t="shared" si="2"/>
        <v>3.3073782920840067E-2</v>
      </c>
    </row>
    <row r="94" spans="1:10" x14ac:dyDescent="0.2">
      <c r="A94">
        <v>7999</v>
      </c>
      <c r="B94" t="s">
        <v>102</v>
      </c>
      <c r="C94">
        <v>1.5493425130844101</v>
      </c>
      <c r="D94">
        <v>0.47078680992126398</v>
      </c>
      <c r="E94">
        <v>1.69317531585693</v>
      </c>
      <c r="F94">
        <v>0.49066665768623302</v>
      </c>
      <c r="G94">
        <v>1.4055097103118801</v>
      </c>
      <c r="H94">
        <v>46.461611956357999</v>
      </c>
      <c r="I94" t="str">
        <f t="shared" si="1"/>
        <v>V91S_S102V</v>
      </c>
      <c r="J94">
        <f t="shared" si="2"/>
        <v>1.557457447052002E-2</v>
      </c>
    </row>
    <row r="95" spans="1:10" x14ac:dyDescent="0.2">
      <c r="A95">
        <v>7993</v>
      </c>
      <c r="B95" t="s">
        <v>103</v>
      </c>
      <c r="C95">
        <v>1.55122971534729</v>
      </c>
      <c r="D95">
        <v>0.42343932390213002</v>
      </c>
      <c r="E95">
        <v>1.6334909200668299</v>
      </c>
      <c r="F95">
        <v>0.47541713714599598</v>
      </c>
      <c r="G95">
        <v>1.4689686298370299</v>
      </c>
      <c r="H95">
        <v>47.461611956357999</v>
      </c>
      <c r="I95" t="str">
        <f t="shared" si="1"/>
        <v>M41D_R109V</v>
      </c>
      <c r="J95">
        <f t="shared" si="2"/>
        <v>1.3687372207640047E-2</v>
      </c>
    </row>
    <row r="96" spans="1:10" x14ac:dyDescent="0.2">
      <c r="A96">
        <v>7991</v>
      </c>
      <c r="B96" t="s">
        <v>104</v>
      </c>
      <c r="C96">
        <v>1.6476182937621999</v>
      </c>
      <c r="D96">
        <v>0.436008691787719</v>
      </c>
      <c r="E96">
        <v>1.85232770442962</v>
      </c>
      <c r="F96">
        <v>0.49391680955886802</v>
      </c>
      <c r="G96">
        <v>1.4429087638854901</v>
      </c>
      <c r="H96">
        <v>48.461611956357999</v>
      </c>
      <c r="I96" t="str">
        <f t="shared" si="1"/>
        <v>M41E_R109V</v>
      </c>
      <c r="J96">
        <f t="shared" si="2"/>
        <v>-8.270120620726984E-2</v>
      </c>
    </row>
    <row r="97" spans="1:10" x14ac:dyDescent="0.2">
      <c r="A97">
        <v>7965</v>
      </c>
      <c r="B97" t="s">
        <v>105</v>
      </c>
      <c r="C97">
        <v>1.6664195060729901</v>
      </c>
      <c r="D97">
        <v>0.40589272975921598</v>
      </c>
      <c r="E97">
        <v>1.8629740476608201</v>
      </c>
      <c r="F97">
        <v>0.428534895181655</v>
      </c>
      <c r="G97">
        <v>1.46986484527587</v>
      </c>
      <c r="H97">
        <v>49.461611956357999</v>
      </c>
      <c r="I97" t="str">
        <f t="shared" si="1"/>
        <v>M41E_V91S</v>
      </c>
      <c r="J97">
        <f t="shared" si="2"/>
        <v>-0.10150241851805997</v>
      </c>
    </row>
    <row r="98" spans="1:10" x14ac:dyDescent="0.2">
      <c r="A98">
        <v>7996</v>
      </c>
      <c r="B98" t="s">
        <v>106</v>
      </c>
      <c r="C98">
        <v>1.6996828317642201</v>
      </c>
      <c r="D98">
        <v>0.39190506935119601</v>
      </c>
      <c r="E98">
        <v>1.88175380229949</v>
      </c>
      <c r="F98">
        <v>0.41923251748085</v>
      </c>
      <c r="G98">
        <v>1.51761186122894</v>
      </c>
      <c r="H98">
        <v>50.461611956357999</v>
      </c>
      <c r="I98" t="str">
        <f t="shared" si="1"/>
        <v>M41E_S102D</v>
      </c>
      <c r="J98">
        <f t="shared" si="2"/>
        <v>-0.13476574420928999</v>
      </c>
    </row>
  </sheetData>
  <sortState xmlns:xlrd2="http://schemas.microsoft.com/office/spreadsheetml/2017/richdata2" ref="A3:J48">
    <sortCondition descending="1" ref="J3:J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fabp4_r1_activity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2025-06-21T17:15:18Z</dcterms:created>
  <dcterms:modified xsi:type="dcterms:W3CDTF">2025-06-23T09:01:28Z</dcterms:modified>
</cp:coreProperties>
</file>